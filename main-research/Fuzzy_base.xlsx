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pe04\paper_with_mukit_bhai\"/>
    </mc:Choice>
  </mc:AlternateContent>
  <xr:revisionPtr revIDLastSave="0" documentId="13_ncr:1_{FAB3A4E5-D61C-4543-91CE-3DE160682258}" xr6:coauthVersionLast="47" xr6:coauthVersionMax="47" xr10:uidLastSave="{00000000-0000-0000-0000-000000000000}"/>
  <bookViews>
    <workbookView minimized="1" xWindow="29625" yWindow="-15" windowWidth="15375" windowHeight="7995" firstSheet="1" activeTab="1" xr2:uid="{4C0CFCDE-488A-45C6-B026-B3F049BD8377}"/>
  </bookViews>
  <sheets>
    <sheet name="Scale" sheetId="4" r:id="rId1"/>
    <sheet name="Category" sheetId="2" r:id="rId2"/>
    <sheet name="Main_Category" sheetId="3" r:id="rId3"/>
    <sheet name="Cost" sheetId="5" r:id="rId4"/>
    <sheet name="Quality" sheetId="6" r:id="rId5"/>
    <sheet name="Delivery" sheetId="7" r:id="rId6"/>
    <sheet name="Reliability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" l="1"/>
  <c r="E16" i="2"/>
  <c r="E17" i="2"/>
  <c r="E14" i="2"/>
  <c r="E11" i="2"/>
  <c r="E12" i="2"/>
  <c r="E13" i="2"/>
  <c r="E10" i="2"/>
  <c r="E9" i="2"/>
  <c r="E7" i="2"/>
  <c r="E8" i="2"/>
  <c r="E6" i="2"/>
  <c r="E3" i="2"/>
  <c r="E4" i="2"/>
  <c r="E5" i="2"/>
  <c r="E2" i="2"/>
  <c r="D24" i="8"/>
  <c r="C24" i="8"/>
  <c r="B24" i="8"/>
  <c r="D23" i="8"/>
  <c r="C23" i="8"/>
  <c r="B23" i="8"/>
  <c r="D22" i="8"/>
  <c r="C22" i="8"/>
  <c r="B22" i="8"/>
  <c r="D21" i="8"/>
  <c r="C21" i="8"/>
  <c r="C25" i="8" s="1"/>
  <c r="C26" i="8" s="1"/>
  <c r="C27" i="8" s="1"/>
  <c r="B21" i="8"/>
  <c r="B25" i="8" s="1"/>
  <c r="B26" i="8" s="1"/>
  <c r="D27" i="8" s="1"/>
  <c r="D24" i="7"/>
  <c r="C24" i="7"/>
  <c r="B24" i="7"/>
  <c r="D23" i="7"/>
  <c r="C23" i="7"/>
  <c r="B23" i="7"/>
  <c r="D22" i="7"/>
  <c r="C22" i="7"/>
  <c r="B22" i="7"/>
  <c r="D21" i="7"/>
  <c r="D25" i="7" s="1"/>
  <c r="D26" i="7" s="1"/>
  <c r="B27" i="7" s="1"/>
  <c r="C21" i="7"/>
  <c r="B21" i="7"/>
  <c r="B25" i="7" s="1"/>
  <c r="B26" i="7" s="1"/>
  <c r="D27" i="7" s="1"/>
  <c r="D28" i="3"/>
  <c r="L24" i="3" s="1"/>
  <c r="C28" i="3"/>
  <c r="K24" i="3" s="1"/>
  <c r="B28" i="3"/>
  <c r="D27" i="6"/>
  <c r="C27" i="6"/>
  <c r="B27" i="6"/>
  <c r="B22" i="6"/>
  <c r="C22" i="6"/>
  <c r="D22" i="6"/>
  <c r="B23" i="6"/>
  <c r="J23" i="6" s="1"/>
  <c r="C23" i="6"/>
  <c r="D23" i="6"/>
  <c r="B24" i="6"/>
  <c r="C24" i="6"/>
  <c r="D24" i="6"/>
  <c r="C21" i="6"/>
  <c r="D21" i="6"/>
  <c r="B21" i="6"/>
  <c r="J21" i="6" s="1"/>
  <c r="L24" i="6"/>
  <c r="J24" i="6"/>
  <c r="K23" i="6"/>
  <c r="L23" i="6"/>
  <c r="L22" i="6"/>
  <c r="K22" i="6"/>
  <c r="J22" i="6"/>
  <c r="K21" i="6"/>
  <c r="J22" i="5"/>
  <c r="K22" i="5"/>
  <c r="L22" i="5"/>
  <c r="J23" i="5"/>
  <c r="K23" i="5"/>
  <c r="L23" i="5"/>
  <c r="L21" i="5"/>
  <c r="K21" i="5"/>
  <c r="C22" i="5"/>
  <c r="C21" i="5"/>
  <c r="D21" i="5"/>
  <c r="B21" i="5"/>
  <c r="G11" i="5"/>
  <c r="D23" i="5" s="1"/>
  <c r="F11" i="5"/>
  <c r="E11" i="5"/>
  <c r="D11" i="5"/>
  <c r="C11" i="5"/>
  <c r="B11" i="5"/>
  <c r="D10" i="5"/>
  <c r="D22" i="5" s="1"/>
  <c r="M22" i="5" s="1"/>
  <c r="C10" i="5"/>
  <c r="B10" i="5"/>
  <c r="B22" i="5" s="1"/>
  <c r="L22" i="3"/>
  <c r="L23" i="3"/>
  <c r="L25" i="3"/>
  <c r="K22" i="3"/>
  <c r="K23" i="3"/>
  <c r="K25" i="3"/>
  <c r="M25" i="3" s="1"/>
  <c r="K21" i="3"/>
  <c r="L21" i="3"/>
  <c r="J22" i="3"/>
  <c r="J23" i="3"/>
  <c r="M23" i="3" s="1"/>
  <c r="J24" i="3"/>
  <c r="J25" i="3"/>
  <c r="J21" i="3"/>
  <c r="C27" i="3"/>
  <c r="D27" i="3"/>
  <c r="B27" i="3"/>
  <c r="C26" i="3"/>
  <c r="D26" i="3"/>
  <c r="B26" i="3"/>
  <c r="C22" i="3"/>
  <c r="D22" i="3"/>
  <c r="C23" i="3"/>
  <c r="D23" i="3"/>
  <c r="C24" i="3"/>
  <c r="D24" i="3"/>
  <c r="C25" i="3"/>
  <c r="D25" i="3"/>
  <c r="B23" i="3"/>
  <c r="B24" i="3"/>
  <c r="B25" i="3"/>
  <c r="B22" i="3"/>
  <c r="D21" i="3"/>
  <c r="C21" i="3"/>
  <c r="B21" i="3"/>
  <c r="D13" i="3"/>
  <c r="C13" i="3"/>
  <c r="B13" i="3"/>
  <c r="C12" i="3"/>
  <c r="B12" i="3"/>
  <c r="D12" i="3"/>
  <c r="C15" i="3"/>
  <c r="B15" i="3"/>
  <c r="D15" i="3"/>
  <c r="B14" i="3"/>
  <c r="C14" i="3"/>
  <c r="D14" i="3"/>
  <c r="D25" i="8" l="1"/>
  <c r="D26" i="8" s="1"/>
  <c r="B27" i="8" s="1"/>
  <c r="K22" i="8"/>
  <c r="L23" i="8"/>
  <c r="J23" i="8"/>
  <c r="J21" i="8"/>
  <c r="J24" i="8"/>
  <c r="J22" i="8"/>
  <c r="K24" i="8"/>
  <c r="L22" i="8"/>
  <c r="K23" i="8"/>
  <c r="L24" i="8"/>
  <c r="K21" i="8"/>
  <c r="L21" i="8"/>
  <c r="C25" i="7"/>
  <c r="C26" i="7" s="1"/>
  <c r="C27" i="7" s="1"/>
  <c r="K23" i="7" s="1"/>
  <c r="L22" i="7"/>
  <c r="J24" i="7"/>
  <c r="J23" i="7"/>
  <c r="J22" i="7"/>
  <c r="M22" i="7" s="1"/>
  <c r="J21" i="7"/>
  <c r="K22" i="7"/>
  <c r="L23" i="7"/>
  <c r="L24" i="7"/>
  <c r="K21" i="7"/>
  <c r="L21" i="7"/>
  <c r="M24" i="3"/>
  <c r="M22" i="3"/>
  <c r="M21" i="3"/>
  <c r="M26" i="3"/>
  <c r="N24" i="3" s="1"/>
  <c r="L21" i="6"/>
  <c r="K24" i="6"/>
  <c r="C25" i="6"/>
  <c r="C26" i="6" s="1"/>
  <c r="M22" i="6"/>
  <c r="D25" i="6"/>
  <c r="D26" i="6" s="1"/>
  <c r="M23" i="6"/>
  <c r="M21" i="6"/>
  <c r="B25" i="6"/>
  <c r="B26" i="6" s="1"/>
  <c r="M24" i="6"/>
  <c r="B23" i="5"/>
  <c r="C23" i="5"/>
  <c r="D24" i="5"/>
  <c r="D25" i="5" s="1"/>
  <c r="B26" i="5" s="1"/>
  <c r="J21" i="5" s="1"/>
  <c r="M21" i="5" s="1"/>
  <c r="C24" i="5"/>
  <c r="C25" i="5" s="1"/>
  <c r="C26" i="5" s="1"/>
  <c r="M24" i="8" l="1"/>
  <c r="M21" i="8"/>
  <c r="M23" i="8"/>
  <c r="M22" i="8"/>
  <c r="K24" i="7"/>
  <c r="M23" i="7"/>
  <c r="M24" i="7"/>
  <c r="M21" i="7"/>
  <c r="N25" i="3"/>
  <c r="N22" i="3"/>
  <c r="N23" i="3"/>
  <c r="N21" i="3"/>
  <c r="M25" i="6"/>
  <c r="N21" i="6" s="1"/>
  <c r="N24" i="6"/>
  <c r="M23" i="5"/>
  <c r="M24" i="5" s="1"/>
  <c r="N22" i="5" s="1"/>
  <c r="B24" i="5"/>
  <c r="B25" i="5" s="1"/>
  <c r="D26" i="5" s="1"/>
  <c r="M25" i="8" l="1"/>
  <c r="M25" i="7"/>
  <c r="N22" i="7" s="1"/>
  <c r="N21" i="7"/>
  <c r="N23" i="7"/>
  <c r="N26" i="3"/>
  <c r="N23" i="6"/>
  <c r="N22" i="6"/>
  <c r="N25" i="6"/>
  <c r="N23" i="5"/>
  <c r="N21" i="5"/>
  <c r="N24" i="5" s="1"/>
  <c r="N24" i="8" l="1"/>
  <c r="N21" i="8"/>
  <c r="N22" i="8"/>
  <c r="N23" i="8"/>
  <c r="N24" i="7"/>
  <c r="N25" i="7" s="1"/>
  <c r="N25" i="8" l="1"/>
</calcChain>
</file>

<file path=xl/sharedStrings.xml><?xml version="1.0" encoding="utf-8"?>
<sst xmlns="http://schemas.openxmlformats.org/spreadsheetml/2006/main" count="205" uniqueCount="57">
  <si>
    <t>Responsiveness</t>
  </si>
  <si>
    <t>Co_operativeness</t>
  </si>
  <si>
    <t>Packaging</t>
  </si>
  <si>
    <t>Consistency</t>
  </si>
  <si>
    <t>On time Delivery</t>
  </si>
  <si>
    <t>Delivery Performance</t>
  </si>
  <si>
    <t>Quality</t>
  </si>
  <si>
    <t>Flexibility</t>
  </si>
  <si>
    <t>Order Fullfillment</t>
  </si>
  <si>
    <t>After sale servixe</t>
  </si>
  <si>
    <t>Lead Time</t>
  </si>
  <si>
    <t>Unit Price</t>
  </si>
  <si>
    <t>Sub_Category</t>
  </si>
  <si>
    <t>Category</t>
  </si>
  <si>
    <t>Strength</t>
  </si>
  <si>
    <t>Length</t>
  </si>
  <si>
    <t>Fineness</t>
  </si>
  <si>
    <t>Cost</t>
  </si>
  <si>
    <t>Total Quantity</t>
  </si>
  <si>
    <t>Total Price</t>
  </si>
  <si>
    <t>Time</t>
  </si>
  <si>
    <t>Delivery</t>
  </si>
  <si>
    <t>Reliability</t>
  </si>
  <si>
    <t>time</t>
  </si>
  <si>
    <t>Saaty Scale</t>
  </si>
  <si>
    <t>Definition Fuzzy</t>
  </si>
  <si>
    <t>Traingular Scale</t>
  </si>
  <si>
    <t>Weakly important</t>
  </si>
  <si>
    <t>Fairly important</t>
  </si>
  <si>
    <t>Equally important</t>
  </si>
  <si>
    <t xml:space="preserve">Strongly important </t>
  </si>
  <si>
    <t>Absolutely important</t>
  </si>
  <si>
    <t>Eq. Imp.</t>
  </si>
  <si>
    <t>W. Imp.</t>
  </si>
  <si>
    <t>F. Imp.</t>
  </si>
  <si>
    <t>S. Imp.</t>
  </si>
  <si>
    <t>A. Imp.</t>
  </si>
  <si>
    <t>1,1,1</t>
  </si>
  <si>
    <t>2,3,4</t>
  </si>
  <si>
    <t>4,5,6</t>
  </si>
  <si>
    <t>6,7,8</t>
  </si>
  <si>
    <t>9,9,9</t>
  </si>
  <si>
    <t>Geometric Mean</t>
  </si>
  <si>
    <t>Sum</t>
  </si>
  <si>
    <t>Inverse</t>
  </si>
  <si>
    <t>Increasing Order</t>
  </si>
  <si>
    <t>Fuzzy Weight</t>
  </si>
  <si>
    <t xml:space="preserve"> </t>
  </si>
  <si>
    <t>Mean</t>
  </si>
  <si>
    <t>Normalized</t>
  </si>
  <si>
    <t>Total quantity</t>
  </si>
  <si>
    <t>Weight(Main Category)</t>
  </si>
  <si>
    <t>Weight(Sub Category)</t>
  </si>
  <si>
    <t>Individual weighting</t>
  </si>
  <si>
    <t>After sale service</t>
  </si>
  <si>
    <t>Cooperativeness</t>
  </si>
  <si>
    <t>Order 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</si>
</sst>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Category!$E$1</c:f>
              <c:strCache>
                <c:ptCount val="1"/>
                <c:pt idx="0">
                  <c:v>Individual weighting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Category!$B$2:$B$17</c:f>
              <c:strCache>
                <c:ptCount val="16"/>
                <c:pt idx="0">
                  <c:v>Fineness</c:v>
                </c:pt>
                <c:pt idx="1">
                  <c:v>Length</c:v>
                </c:pt>
                <c:pt idx="2">
                  <c:v>Strength</c:v>
                </c:pt>
                <c:pt idx="3">
                  <c:v>Packaging</c:v>
                </c:pt>
                <c:pt idx="4">
                  <c:v>Total Quantity</c:v>
                </c:pt>
                <c:pt idx="5">
                  <c:v>Total Price</c:v>
                </c:pt>
                <c:pt idx="6">
                  <c:v>Unit Price</c:v>
                </c:pt>
                <c:pt idx="7">
                  <c:v>Lead Time</c:v>
                </c:pt>
                <c:pt idx="8">
                  <c:v>On time Delivery</c:v>
                </c:pt>
                <c:pt idx="9">
                  <c:v>Delivery Performance</c:v>
                </c:pt>
                <c:pt idx="10">
                  <c:v>Consistency</c:v>
                </c:pt>
                <c:pt idx="11">
                  <c:v>Order Fulfillment</c:v>
                </c:pt>
                <c:pt idx="12">
                  <c:v>Responsiveness</c:v>
                </c:pt>
                <c:pt idx="13">
                  <c:v>Cooperativeness</c:v>
                </c:pt>
                <c:pt idx="14">
                  <c:v>Flexibility</c:v>
                </c:pt>
                <c:pt idx="15">
                  <c:v>After sale service</c:v>
                </c:pt>
              </c:strCache>
            </c:strRef>
          </c:cat>
          <c:val>
            <c:numRef>
              <c:f>Category!$E$2:$E$17</c:f>
              <c:numCache>
                <c:formatCode>General</c:formatCode>
                <c:ptCount val="16"/>
                <c:pt idx="0">
                  <c:v>0.22327016606852199</c:v>
                </c:pt>
                <c:pt idx="1">
                  <c:v>6.8508972256532727E-2</c:v>
                </c:pt>
                <c:pt idx="2">
                  <c:v>0.13153941580400974</c:v>
                </c:pt>
                <c:pt idx="3">
                  <c:v>3.0211048562136255E-2</c:v>
                </c:pt>
                <c:pt idx="4">
                  <c:v>5.1169151122257783E-2</c:v>
                </c:pt>
                <c:pt idx="5">
                  <c:v>2.5267258905354809E-2</c:v>
                </c:pt>
                <c:pt idx="6">
                  <c:v>0.17558795021511042</c:v>
                </c:pt>
                <c:pt idx="7">
                  <c:v>0.16507402473582466</c:v>
                </c:pt>
                <c:pt idx="8">
                  <c:v>2.582080582354954E-2</c:v>
                </c:pt>
                <c:pt idx="9">
                  <c:v>1.1629159330211769E-2</c:v>
                </c:pt>
                <c:pt idx="10">
                  <c:v>5.9310105452044575E-3</c:v>
                </c:pt>
                <c:pt idx="11">
                  <c:v>4.3827390538300384E-2</c:v>
                </c:pt>
                <c:pt idx="12">
                  <c:v>2.0756934518439647E-2</c:v>
                </c:pt>
                <c:pt idx="13">
                  <c:v>1.222892914228265E-2</c:v>
                </c:pt>
                <c:pt idx="14">
                  <c:v>6.3691279318438942E-3</c:v>
                </c:pt>
                <c:pt idx="15">
                  <c:v>2.8086545004190476E-3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E-4B1A-9DD3-9C39B90D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655648"/>
        <c:axId val="354657448"/>
      </c:barChart>
      <c:catAx>
        <c:axId val="3546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657448"/>
        <c:crosses val="autoZero"/>
        <c:auto val="1"/>
        <c:lblAlgn val="ctr"/>
        <c:lblOffset val="100"/>
        <c:noMultiLvlLbl val="0"/>
      </c:catAx>
      <c:valAx>
        <c:axId val="35465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6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933450</xdr:colOff>
      <xdr:row>24</xdr:row>
      <xdr:rowOff>119062</xdr:rowOff>
    </xdr:from>
    <xdr:to>
      <xdr:col>3</xdr:col>
      <xdr:colOff>1057275</xdr:colOff>
      <xdr:row>39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1FDCD7-941A-C1C9-6A29-FA3A658C3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7FD4-4C4F-49E4-811E-E3A88F5027B5}">
  <dimension ref="A1:C6"/>
  <sheetViews>
    <sheetView workbookViewId="0">
      <selection activeCell="B28" sqref="B28"/>
    </sheetView>
  </sheetViews>
  <sheetFormatPr defaultRowHeight="15" x14ac:dyDescent="0.25"/>
  <cols>
    <col min="1" max="1" width="22.5703125" customWidth="1"/>
    <col min="2" max="2" width="32.140625" customWidth="1"/>
    <col min="3" max="3" width="42.28515625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29</v>
      </c>
      <c r="B2" t="s">
        <v>32</v>
      </c>
      <c r="C2" t="s">
        <v>37</v>
      </c>
    </row>
    <row r="3" spans="1:3" x14ac:dyDescent="0.25">
      <c r="A3" t="s">
        <v>27</v>
      </c>
      <c r="B3" t="s">
        <v>33</v>
      </c>
      <c r="C3" t="s">
        <v>38</v>
      </c>
    </row>
    <row r="4" spans="1:3" x14ac:dyDescent="0.25">
      <c r="A4" t="s">
        <v>28</v>
      </c>
      <c r="B4" t="s">
        <v>34</v>
      </c>
      <c r="C4" t="s">
        <v>39</v>
      </c>
    </row>
    <row r="5" spans="1:3" x14ac:dyDescent="0.25">
      <c r="A5" t="s">
        <v>30</v>
      </c>
      <c r="B5" t="s">
        <v>35</v>
      </c>
      <c r="C5" t="s">
        <v>40</v>
      </c>
    </row>
    <row r="6" spans="1:3" x14ac:dyDescent="0.25">
      <c r="A6" t="s">
        <v>31</v>
      </c>
      <c r="B6" t="s">
        <v>36</v>
      </c>
      <c r="C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D0FD-15DB-414D-92D5-60E3A9BD39AA}">
  <dimension ref="A1:L23"/>
  <sheetViews>
    <sheetView tabSelected="1" workbookViewId="0">
      <selection activeCell="B2" sqref="B2"/>
    </sheetView>
  </sheetViews>
  <sheetFormatPr defaultRowHeight="15" x14ac:dyDescent="0.25"/>
  <cols>
    <col min="1" max="1" width="33.85546875" style="1" customWidth="1"/>
    <col min="2" max="2" width="42.42578125" style="1" customWidth="1"/>
    <col min="3" max="3" width="24.28515625" customWidth="1"/>
    <col min="4" max="4" width="25.42578125" customWidth="1"/>
    <col min="5" max="5" width="21.28515625" customWidth="1"/>
  </cols>
  <sheetData>
    <row r="1" spans="1:12" s="2" customFormat="1" x14ac:dyDescent="0.25">
      <c r="A1" s="3" t="s">
        <v>13</v>
      </c>
      <c r="B1" s="3" t="s">
        <v>12</v>
      </c>
      <c r="C1" s="11" t="s">
        <v>51</v>
      </c>
      <c r="D1" s="11" t="s">
        <v>52</v>
      </c>
      <c r="E1" s="11" t="s">
        <v>53</v>
      </c>
      <c r="F1" s="11"/>
      <c r="G1" s="11"/>
      <c r="H1" s="11"/>
      <c r="I1" s="11"/>
      <c r="J1" s="11"/>
      <c r="K1" s="11"/>
      <c r="L1" s="11"/>
    </row>
    <row r="2" spans="1:12" x14ac:dyDescent="0.25">
      <c r="A2" s="13" t="s">
        <v>6</v>
      </c>
      <c r="B2" s="1" t="s">
        <v>16</v>
      </c>
      <c r="C2" s="13">
        <v>0.45352960269120079</v>
      </c>
      <c r="D2" s="12">
        <v>0.49229458175091201</v>
      </c>
      <c r="E2" s="12">
        <f>D2*$C$2</f>
        <v>0.22327016606852199</v>
      </c>
      <c r="F2" s="12"/>
      <c r="G2" s="12"/>
      <c r="H2" s="12"/>
      <c r="I2" s="12"/>
      <c r="J2" s="12"/>
      <c r="K2" s="12"/>
      <c r="L2" s="12"/>
    </row>
    <row r="3" spans="1:12" x14ac:dyDescent="0.25">
      <c r="A3" s="13"/>
      <c r="B3" s="1" t="s">
        <v>15</v>
      </c>
      <c r="C3" s="13"/>
      <c r="D3" s="12">
        <v>0.15105733308257524</v>
      </c>
      <c r="E3" s="12">
        <f t="shared" ref="E3:E5" si="0">D3*$C$2</f>
        <v>6.8508972256532727E-2</v>
      </c>
      <c r="F3" s="12"/>
      <c r="G3" s="12"/>
      <c r="H3" s="12"/>
      <c r="I3" s="12"/>
      <c r="J3" s="12"/>
      <c r="K3" s="12"/>
      <c r="L3" s="12"/>
    </row>
    <row r="4" spans="1:12" x14ac:dyDescent="0.25">
      <c r="A4" s="13"/>
      <c r="B4" s="1" t="s">
        <v>14</v>
      </c>
      <c r="C4" s="13"/>
      <c r="D4" s="12">
        <v>0.2900349062629376</v>
      </c>
      <c r="E4" s="12">
        <f t="shared" si="0"/>
        <v>0.13153941580400974</v>
      </c>
      <c r="F4" s="12"/>
      <c r="G4" s="12"/>
      <c r="H4" s="12"/>
      <c r="I4" s="12"/>
      <c r="J4" s="12"/>
      <c r="K4" s="12"/>
      <c r="L4" s="12"/>
    </row>
    <row r="5" spans="1:12" x14ac:dyDescent="0.25">
      <c r="A5" s="13"/>
      <c r="B5" s="1" t="s">
        <v>2</v>
      </c>
      <c r="C5" s="13"/>
      <c r="D5" s="12">
        <v>6.6613178903575015E-2</v>
      </c>
      <c r="E5" s="12">
        <f t="shared" si="0"/>
        <v>3.0211048562136255E-2</v>
      </c>
      <c r="F5" s="12"/>
      <c r="G5" s="12"/>
      <c r="H5" s="12"/>
      <c r="I5" s="12"/>
      <c r="J5" s="12"/>
      <c r="K5" s="12"/>
      <c r="L5" s="12"/>
    </row>
    <row r="6" spans="1:12" x14ac:dyDescent="0.25">
      <c r="A6" s="13" t="s">
        <v>17</v>
      </c>
      <c r="B6" s="1" t="s">
        <v>18</v>
      </c>
      <c r="C6" s="13">
        <v>0.25202436024272301</v>
      </c>
      <c r="D6" s="12">
        <v>0.20303256031669759</v>
      </c>
      <c r="E6" s="12">
        <f>D6*$C$6</f>
        <v>5.1169151122257783E-2</v>
      </c>
      <c r="F6" s="12"/>
      <c r="G6" s="12"/>
      <c r="H6" s="12"/>
      <c r="I6" s="12"/>
      <c r="J6" s="12"/>
      <c r="K6" s="12"/>
      <c r="L6" s="12"/>
    </row>
    <row r="7" spans="1:12" x14ac:dyDescent="0.25">
      <c r="A7" s="13"/>
      <c r="B7" s="1" t="s">
        <v>19</v>
      </c>
      <c r="C7" s="13"/>
      <c r="D7" s="12">
        <v>0.10025720879132509</v>
      </c>
      <c r="E7" s="12">
        <f t="shared" ref="E7:E8" si="1">D7*$C$6</f>
        <v>2.5267258905354809E-2</v>
      </c>
      <c r="F7" s="12"/>
      <c r="H7" s="12"/>
      <c r="I7" s="12"/>
      <c r="J7" s="12"/>
      <c r="K7" s="12"/>
      <c r="L7" s="12"/>
    </row>
    <row r="8" spans="1:12" x14ac:dyDescent="0.25">
      <c r="A8" s="13"/>
      <c r="B8" s="1" t="s">
        <v>11</v>
      </c>
      <c r="C8" s="13"/>
      <c r="D8" s="12">
        <v>0.69671023089197737</v>
      </c>
      <c r="E8" s="12">
        <f t="shared" si="1"/>
        <v>0.17558795021511042</v>
      </c>
      <c r="F8" s="12"/>
      <c r="H8" s="12"/>
      <c r="I8" s="12"/>
      <c r="J8" s="12"/>
      <c r="K8" s="12"/>
      <c r="L8" s="12"/>
    </row>
    <row r="9" spans="1:12" x14ac:dyDescent="0.25">
      <c r="A9" s="1" t="s">
        <v>20</v>
      </c>
      <c r="B9" s="1" t="s">
        <v>10</v>
      </c>
      <c r="C9" s="12">
        <v>0.16507402473582466</v>
      </c>
      <c r="D9" s="12">
        <v>1</v>
      </c>
      <c r="E9" s="12">
        <f>D9*C9</f>
        <v>0.16507402473582466</v>
      </c>
      <c r="F9" s="12"/>
      <c r="H9" s="12"/>
      <c r="I9" s="12"/>
      <c r="J9" s="12"/>
      <c r="K9" s="12"/>
      <c r="L9" s="12"/>
    </row>
    <row r="10" spans="1:12" x14ac:dyDescent="0.25">
      <c r="A10" s="13" t="s">
        <v>21</v>
      </c>
      <c r="B10" s="1" t="s">
        <v>4</v>
      </c>
      <c r="C10" s="13">
        <v>8.7208366237266161E-2</v>
      </c>
      <c r="D10" s="12">
        <v>0.29608175152942734</v>
      </c>
      <c r="E10" s="12">
        <f>D10*$C$10</f>
        <v>2.582080582354954E-2</v>
      </c>
      <c r="F10" s="12"/>
      <c r="H10" s="12"/>
      <c r="I10" s="12"/>
      <c r="J10" s="12"/>
      <c r="K10" s="12"/>
      <c r="L10" s="12"/>
    </row>
    <row r="11" spans="1:12" x14ac:dyDescent="0.25">
      <c r="A11" s="13"/>
      <c r="B11" s="1" t="s">
        <v>5</v>
      </c>
      <c r="C11" s="13"/>
      <c r="D11" s="12">
        <v>0.13334912499762391</v>
      </c>
      <c r="E11" s="12">
        <f t="shared" ref="E11:E13" si="2">D11*$C$10</f>
        <v>1.1629159330211769E-2</v>
      </c>
      <c r="F11" s="12"/>
      <c r="G11" s="12"/>
      <c r="H11" s="12"/>
      <c r="I11" s="12"/>
      <c r="J11" s="12"/>
      <c r="K11" s="12"/>
      <c r="L11" s="12"/>
    </row>
    <row r="12" spans="1:12" x14ac:dyDescent="0.25">
      <c r="A12" s="13"/>
      <c r="B12" s="1" t="s">
        <v>3</v>
      </c>
      <c r="C12" s="13"/>
      <c r="D12" s="12">
        <v>6.8009650921197956E-2</v>
      </c>
      <c r="E12" s="12">
        <f t="shared" si="2"/>
        <v>5.9310105452044575E-3</v>
      </c>
      <c r="F12" s="12"/>
      <c r="G12" s="12"/>
      <c r="H12" s="12"/>
      <c r="I12" s="12"/>
      <c r="J12" s="12"/>
      <c r="K12" s="12"/>
      <c r="L12" s="12"/>
    </row>
    <row r="13" spans="1:12" x14ac:dyDescent="0.25">
      <c r="A13" s="13"/>
      <c r="B13" s="1" t="s">
        <v>56</v>
      </c>
      <c r="C13" s="13"/>
      <c r="D13" s="12">
        <v>0.50255947255175071</v>
      </c>
      <c r="E13" s="12">
        <f t="shared" si="2"/>
        <v>4.3827390538300384E-2</v>
      </c>
      <c r="F13" s="12"/>
      <c r="G13" s="12"/>
      <c r="H13" s="12"/>
      <c r="I13" s="12"/>
      <c r="J13" s="12"/>
      <c r="K13" s="12"/>
      <c r="L13" s="12"/>
    </row>
    <row r="14" spans="1:12" x14ac:dyDescent="0.25">
      <c r="A14" s="13" t="s">
        <v>22</v>
      </c>
      <c r="B14" s="1" t="s">
        <v>0</v>
      </c>
      <c r="C14" s="13">
        <v>4.2163646092985244E-2</v>
      </c>
      <c r="D14" s="12">
        <v>0.49229458175091201</v>
      </c>
      <c r="E14" s="12">
        <f>D14*$C$14</f>
        <v>2.0756934518439647E-2</v>
      </c>
      <c r="F14" s="12"/>
      <c r="G14" s="12"/>
      <c r="H14" s="12"/>
      <c r="I14" s="12"/>
      <c r="J14" s="12"/>
      <c r="K14" s="12"/>
      <c r="L14" s="12"/>
    </row>
    <row r="15" spans="1:12" x14ac:dyDescent="0.25">
      <c r="A15" s="13"/>
      <c r="B15" s="1" t="s">
        <v>55</v>
      </c>
      <c r="C15" s="13"/>
      <c r="D15" s="12">
        <v>0.2900349062629376</v>
      </c>
      <c r="E15" s="12">
        <f t="shared" ref="E15:E17" si="3">D15*$C$14</f>
        <v>1.222892914228265E-2</v>
      </c>
      <c r="F15" s="12"/>
      <c r="G15" s="12"/>
      <c r="H15" s="12"/>
      <c r="I15" s="12"/>
      <c r="J15" s="12"/>
      <c r="K15" s="12"/>
      <c r="L15" s="12"/>
    </row>
    <row r="16" spans="1:12" x14ac:dyDescent="0.25">
      <c r="A16" s="13"/>
      <c r="B16" s="1" t="s">
        <v>7</v>
      </c>
      <c r="C16" s="13"/>
      <c r="D16" s="12">
        <v>0.15105733308257524</v>
      </c>
      <c r="E16" s="12">
        <f t="shared" si="3"/>
        <v>6.3691279318438942E-3</v>
      </c>
      <c r="F16" s="12"/>
      <c r="G16" s="12"/>
      <c r="H16" s="12"/>
      <c r="I16" s="12"/>
      <c r="J16" s="12"/>
      <c r="K16" s="12"/>
      <c r="L16" s="12"/>
    </row>
    <row r="17" spans="1:12" x14ac:dyDescent="0.25">
      <c r="A17" s="13"/>
      <c r="B17" s="1" t="s">
        <v>54</v>
      </c>
      <c r="C17" s="13"/>
      <c r="D17" s="12">
        <v>6.6613178903575015E-2</v>
      </c>
      <c r="E17" s="12">
        <f t="shared" si="3"/>
        <v>2.8086545004190476E-3</v>
      </c>
      <c r="F17" s="12"/>
      <c r="G17" s="12"/>
      <c r="H17" s="12"/>
      <c r="I17" s="12"/>
      <c r="J17" s="12"/>
      <c r="K17" s="12"/>
      <c r="L17" s="12"/>
    </row>
    <row r="18" spans="1:12" x14ac:dyDescent="0.25"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x14ac:dyDescent="0.25"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25"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5"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C23" s="12"/>
      <c r="D23" s="12"/>
      <c r="E23" s="12"/>
      <c r="F23" s="12"/>
      <c r="G23" s="12"/>
      <c r="H23" s="12"/>
      <c r="I23" s="12"/>
      <c r="J23" s="12"/>
      <c r="K23" s="12"/>
      <c r="L23" s="12"/>
    </row>
  </sheetData>
  <mergeCells count="8">
    <mergeCell ref="A2:A5"/>
    <mergeCell ref="A6:A8"/>
    <mergeCell ref="A10:A13"/>
    <mergeCell ref="A14:A17"/>
    <mergeCell ref="C2:C5"/>
    <mergeCell ref="C6:C8"/>
    <mergeCell ref="C10:C13"/>
    <mergeCell ref="C14:C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E1C6-D86F-4828-BC98-2C17B150BC5E}">
  <dimension ref="A1:P28"/>
  <sheetViews>
    <sheetView topLeftCell="A4" workbookViewId="0">
      <selection activeCell="N25" sqref="N25"/>
    </sheetView>
  </sheetViews>
  <sheetFormatPr defaultRowHeight="15" x14ac:dyDescent="0.25"/>
  <cols>
    <col min="1" max="1" width="11.7109375" style="1" customWidth="1"/>
    <col min="2" max="5" width="9.140625" style="1" customWidth="1"/>
    <col min="6" max="12" width="9.140625" style="1"/>
    <col min="13" max="13" width="11.7109375" style="1" customWidth="1"/>
    <col min="14" max="14" width="13.7109375" style="1" customWidth="1"/>
    <col min="15" max="16384" width="9.140625" style="1"/>
  </cols>
  <sheetData>
    <row r="1" spans="1:16" x14ac:dyDescent="0.25">
      <c r="A1" s="4"/>
      <c r="B1" s="14" t="s">
        <v>6</v>
      </c>
      <c r="C1" s="14"/>
      <c r="D1" s="14"/>
      <c r="E1" s="14" t="s">
        <v>17</v>
      </c>
      <c r="F1" s="14"/>
      <c r="G1" s="14"/>
      <c r="H1" s="14" t="s">
        <v>20</v>
      </c>
      <c r="I1" s="14"/>
      <c r="J1" s="14"/>
      <c r="K1" s="14" t="s">
        <v>21</v>
      </c>
      <c r="L1" s="14"/>
      <c r="M1" s="14"/>
      <c r="N1" s="14" t="s">
        <v>22</v>
      </c>
      <c r="O1" s="14"/>
      <c r="P1" s="14"/>
    </row>
    <row r="2" spans="1:16" x14ac:dyDescent="0.25">
      <c r="A2" s="4" t="s">
        <v>6</v>
      </c>
      <c r="B2" s="5">
        <v>1</v>
      </c>
      <c r="C2" s="5">
        <v>1</v>
      </c>
      <c r="D2" s="5">
        <v>1</v>
      </c>
      <c r="E2" s="6">
        <v>2</v>
      </c>
      <c r="F2" s="6">
        <v>3</v>
      </c>
      <c r="G2" s="6">
        <v>4</v>
      </c>
      <c r="H2" s="7">
        <v>2</v>
      </c>
      <c r="I2" s="7">
        <v>3</v>
      </c>
      <c r="J2" s="7">
        <v>4</v>
      </c>
      <c r="K2" s="8">
        <v>4</v>
      </c>
      <c r="L2" s="8">
        <v>5</v>
      </c>
      <c r="M2" s="8">
        <v>6</v>
      </c>
      <c r="N2" s="9">
        <v>6</v>
      </c>
      <c r="O2" s="9">
        <v>7</v>
      </c>
      <c r="P2" s="9">
        <v>8</v>
      </c>
    </row>
    <row r="3" spans="1:16" x14ac:dyDescent="0.25">
      <c r="A3" s="4" t="s">
        <v>17</v>
      </c>
      <c r="B3" s="5"/>
      <c r="C3" s="5"/>
      <c r="D3" s="5"/>
      <c r="E3" s="6">
        <v>1</v>
      </c>
      <c r="F3" s="6">
        <v>1</v>
      </c>
      <c r="G3" s="6">
        <v>1</v>
      </c>
      <c r="H3" s="7">
        <v>2</v>
      </c>
      <c r="I3" s="7">
        <v>3</v>
      </c>
      <c r="J3" s="7">
        <v>4</v>
      </c>
      <c r="K3" s="8">
        <v>2</v>
      </c>
      <c r="L3" s="8">
        <v>3</v>
      </c>
      <c r="M3" s="8">
        <v>4</v>
      </c>
      <c r="N3" s="9">
        <v>4</v>
      </c>
      <c r="O3" s="9">
        <v>5</v>
      </c>
      <c r="P3" s="9">
        <v>6</v>
      </c>
    </row>
    <row r="4" spans="1:16" x14ac:dyDescent="0.25">
      <c r="A4" s="4" t="s">
        <v>23</v>
      </c>
      <c r="B4" s="5"/>
      <c r="C4" s="5"/>
      <c r="D4" s="5"/>
      <c r="E4" s="6"/>
      <c r="F4" s="6"/>
      <c r="G4" s="6"/>
      <c r="H4" s="7">
        <v>1</v>
      </c>
      <c r="I4" s="7">
        <v>1</v>
      </c>
      <c r="J4" s="7">
        <v>1</v>
      </c>
      <c r="K4" s="8">
        <v>2</v>
      </c>
      <c r="L4" s="8">
        <v>3</v>
      </c>
      <c r="M4" s="8">
        <v>4</v>
      </c>
      <c r="N4" s="9">
        <v>4</v>
      </c>
      <c r="O4" s="9">
        <v>5</v>
      </c>
      <c r="P4" s="9">
        <v>6</v>
      </c>
    </row>
    <row r="5" spans="1:16" x14ac:dyDescent="0.25">
      <c r="A5" s="4" t="s">
        <v>21</v>
      </c>
      <c r="B5" s="5"/>
      <c r="C5" s="5"/>
      <c r="D5" s="5"/>
      <c r="E5" s="6"/>
      <c r="F5" s="6"/>
      <c r="G5" s="6"/>
      <c r="H5" s="7"/>
      <c r="I5" s="7"/>
      <c r="J5" s="7"/>
      <c r="K5" s="8">
        <v>1</v>
      </c>
      <c r="L5" s="8">
        <v>1</v>
      </c>
      <c r="M5" s="8">
        <v>1</v>
      </c>
      <c r="N5" s="9">
        <v>2</v>
      </c>
      <c r="O5" s="9">
        <v>3</v>
      </c>
      <c r="P5" s="9">
        <v>4</v>
      </c>
    </row>
    <row r="6" spans="1:16" x14ac:dyDescent="0.25">
      <c r="A6" s="4" t="s">
        <v>22</v>
      </c>
      <c r="B6" s="5"/>
      <c r="C6" s="5"/>
      <c r="D6" s="5"/>
      <c r="E6" s="6"/>
      <c r="F6" s="6"/>
      <c r="G6" s="6"/>
      <c r="H6" s="7"/>
      <c r="I6" s="7"/>
      <c r="J6" s="7"/>
      <c r="K6" s="8"/>
      <c r="L6" s="8"/>
      <c r="M6" s="8"/>
      <c r="N6" s="9">
        <v>1</v>
      </c>
      <c r="O6" s="9">
        <v>1</v>
      </c>
      <c r="P6" s="9">
        <v>1</v>
      </c>
    </row>
    <row r="10" spans="1:16" x14ac:dyDescent="0.25">
      <c r="A10" s="4"/>
      <c r="B10" s="14" t="s">
        <v>6</v>
      </c>
      <c r="C10" s="14"/>
      <c r="D10" s="14"/>
      <c r="E10" s="14" t="s">
        <v>17</v>
      </c>
      <c r="F10" s="14"/>
      <c r="G10" s="14"/>
      <c r="H10" s="14" t="s">
        <v>20</v>
      </c>
      <c r="I10" s="14"/>
      <c r="J10" s="14"/>
      <c r="K10" s="14" t="s">
        <v>21</v>
      </c>
      <c r="L10" s="14"/>
      <c r="M10" s="14"/>
      <c r="N10" s="14" t="s">
        <v>22</v>
      </c>
      <c r="O10" s="14"/>
      <c r="P10" s="14"/>
    </row>
    <row r="11" spans="1:16" x14ac:dyDescent="0.25">
      <c r="A11" s="4" t="s">
        <v>6</v>
      </c>
      <c r="B11" s="5">
        <v>1</v>
      </c>
      <c r="C11" s="5">
        <v>1</v>
      </c>
      <c r="D11" s="5">
        <v>1</v>
      </c>
      <c r="E11" s="6">
        <v>2</v>
      </c>
      <c r="F11" s="6">
        <v>3</v>
      </c>
      <c r="G11" s="6">
        <v>4</v>
      </c>
      <c r="H11" s="7">
        <v>2</v>
      </c>
      <c r="I11" s="7">
        <v>3</v>
      </c>
      <c r="J11" s="7">
        <v>4</v>
      </c>
      <c r="K11" s="8">
        <v>4</v>
      </c>
      <c r="L11" s="8">
        <v>5</v>
      </c>
      <c r="M11" s="8">
        <v>6</v>
      </c>
      <c r="N11" s="9">
        <v>6</v>
      </c>
      <c r="O11" s="9">
        <v>7</v>
      </c>
      <c r="P11" s="9">
        <v>8</v>
      </c>
    </row>
    <row r="12" spans="1:16" x14ac:dyDescent="0.25">
      <c r="A12" s="4" t="s">
        <v>17</v>
      </c>
      <c r="B12" s="5">
        <f>1/G11</f>
        <v>0.25</v>
      </c>
      <c r="C12" s="5">
        <f>1/F11</f>
        <v>0.33333333333333331</v>
      </c>
      <c r="D12" s="5">
        <f>1/E11</f>
        <v>0.5</v>
      </c>
      <c r="E12" s="6">
        <v>1</v>
      </c>
      <c r="F12" s="6">
        <v>1</v>
      </c>
      <c r="G12" s="6">
        <v>1</v>
      </c>
      <c r="H12" s="7">
        <v>2</v>
      </c>
      <c r="I12" s="7">
        <v>3</v>
      </c>
      <c r="J12" s="7">
        <v>4</v>
      </c>
      <c r="K12" s="8">
        <v>2</v>
      </c>
      <c r="L12" s="8">
        <v>3</v>
      </c>
      <c r="M12" s="8">
        <v>4</v>
      </c>
      <c r="N12" s="9">
        <v>4</v>
      </c>
      <c r="O12" s="9">
        <v>5</v>
      </c>
      <c r="P12" s="9">
        <v>6</v>
      </c>
    </row>
    <row r="13" spans="1:16" x14ac:dyDescent="0.25">
      <c r="A13" s="4" t="s">
        <v>23</v>
      </c>
      <c r="B13" s="5">
        <f>1/J11</f>
        <v>0.25</v>
      </c>
      <c r="C13" s="5">
        <f>1/I11</f>
        <v>0.33333333333333331</v>
      </c>
      <c r="D13" s="5">
        <f>1/H11</f>
        <v>0.5</v>
      </c>
      <c r="E13" s="6">
        <v>0.25</v>
      </c>
      <c r="F13" s="6">
        <v>0.33333333333333331</v>
      </c>
      <c r="G13" s="6">
        <v>0.5</v>
      </c>
      <c r="H13" s="7">
        <v>1</v>
      </c>
      <c r="I13" s="7">
        <v>1</v>
      </c>
      <c r="J13" s="7">
        <v>1</v>
      </c>
      <c r="K13" s="8">
        <v>2</v>
      </c>
      <c r="L13" s="8">
        <v>3</v>
      </c>
      <c r="M13" s="8">
        <v>4</v>
      </c>
      <c r="N13" s="9">
        <v>4</v>
      </c>
      <c r="O13" s="9">
        <v>5</v>
      </c>
      <c r="P13" s="9">
        <v>6</v>
      </c>
    </row>
    <row r="14" spans="1:16" x14ac:dyDescent="0.25">
      <c r="A14" s="4" t="s">
        <v>21</v>
      </c>
      <c r="B14" s="5">
        <f>1/M11</f>
        <v>0.16666666666666666</v>
      </c>
      <c r="C14" s="5">
        <f>1/L11</f>
        <v>0.2</v>
      </c>
      <c r="D14" s="5">
        <f>1/K11</f>
        <v>0.25</v>
      </c>
      <c r="E14" s="6">
        <v>0.25</v>
      </c>
      <c r="F14" s="6">
        <v>0.33333333333333331</v>
      </c>
      <c r="G14" s="6">
        <v>0.5</v>
      </c>
      <c r="H14" s="7">
        <v>0.25</v>
      </c>
      <c r="I14" s="7">
        <v>0.33333333333333331</v>
      </c>
      <c r="J14" s="7">
        <v>0.5</v>
      </c>
      <c r="K14" s="8">
        <v>1</v>
      </c>
      <c r="L14" s="8">
        <v>1</v>
      </c>
      <c r="M14" s="8">
        <v>1</v>
      </c>
      <c r="N14" s="9">
        <v>2</v>
      </c>
      <c r="O14" s="9">
        <v>3</v>
      </c>
      <c r="P14" s="9">
        <v>4</v>
      </c>
    </row>
    <row r="15" spans="1:16" x14ac:dyDescent="0.25">
      <c r="A15" s="4" t="s">
        <v>22</v>
      </c>
      <c r="B15" s="5">
        <f>1/P11</f>
        <v>0.125</v>
      </c>
      <c r="C15" s="5">
        <f>1/O11</f>
        <v>0.14285714285714285</v>
      </c>
      <c r="D15" s="5">
        <f>1/N11</f>
        <v>0.16666666666666666</v>
      </c>
      <c r="E15" s="6">
        <v>0.16666666666666666</v>
      </c>
      <c r="F15" s="6">
        <v>0.2</v>
      </c>
      <c r="G15" s="6">
        <v>0.25</v>
      </c>
      <c r="H15" s="7">
        <v>0.16666666666666666</v>
      </c>
      <c r="I15" s="7">
        <v>0.2</v>
      </c>
      <c r="J15" s="7">
        <v>0.25</v>
      </c>
      <c r="K15" s="8">
        <v>0.25</v>
      </c>
      <c r="L15" s="8">
        <v>0.33333333333333331</v>
      </c>
      <c r="M15" s="8">
        <v>0.5</v>
      </c>
      <c r="N15" s="9">
        <v>1</v>
      </c>
      <c r="O15" s="9">
        <v>1</v>
      </c>
      <c r="P15" s="9">
        <v>1</v>
      </c>
    </row>
    <row r="20" spans="1:15" x14ac:dyDescent="0.25">
      <c r="A20" s="4"/>
      <c r="B20" s="14" t="s">
        <v>42</v>
      </c>
      <c r="C20" s="14"/>
      <c r="D20" s="14"/>
      <c r="I20" s="4"/>
      <c r="J20" s="14" t="s">
        <v>46</v>
      </c>
      <c r="K20" s="14"/>
      <c r="L20" s="14"/>
      <c r="M20" s="4" t="s">
        <v>48</v>
      </c>
      <c r="N20" s="4" t="s">
        <v>49</v>
      </c>
      <c r="O20" s="1" t="s">
        <v>47</v>
      </c>
    </row>
    <row r="21" spans="1:15" x14ac:dyDescent="0.25">
      <c r="A21" s="4" t="s">
        <v>6</v>
      </c>
      <c r="B21" s="5">
        <f>GEOMEAN(B11,E11,H11,K11,N11)</f>
        <v>2.4914618792310348</v>
      </c>
      <c r="C21" s="5">
        <f>GEOMEAN(C11,F11,I11,L11,O11)</f>
        <v>3.1598183057492712</v>
      </c>
      <c r="D21" s="5">
        <f>GEOMEAN(D11,G11,J11,M11,P11)</f>
        <v>3.7763500451796084</v>
      </c>
      <c r="I21" s="4" t="s">
        <v>6</v>
      </c>
      <c r="J21" s="5">
        <f>B21*B$28</f>
        <v>0.29368205856959584</v>
      </c>
      <c r="K21" s="5">
        <f t="shared" ref="K21:L25" si="0">C21*C$28</f>
        <v>0.46103795084295562</v>
      </c>
      <c r="L21" s="5">
        <f t="shared" si="0"/>
        <v>0.70104371931521825</v>
      </c>
      <c r="M21" s="5">
        <f>AVERAGE(J21:L21)</f>
        <v>0.48525457624258994</v>
      </c>
      <c r="N21" s="5">
        <f>M21/$M$26</f>
        <v>0.45352960269120079</v>
      </c>
    </row>
    <row r="22" spans="1:15" x14ac:dyDescent="0.25">
      <c r="A22" s="4" t="s">
        <v>17</v>
      </c>
      <c r="B22" s="5">
        <f>GEOMEAN(B12,E12,H12,K12,N12)</f>
        <v>1.3195079107728942</v>
      </c>
      <c r="C22" s="5">
        <f t="shared" ref="C22:D22" si="1">GEOMEAN(C12,F12,I12,L12,O12)</f>
        <v>1.7187719275874789</v>
      </c>
      <c r="D22" s="5">
        <f t="shared" si="1"/>
        <v>2.1689435423953971</v>
      </c>
      <c r="I22" s="4" t="s">
        <v>17</v>
      </c>
      <c r="J22" s="5">
        <f t="shared" ref="J22:J25" si="2">B22*B$28</f>
        <v>0.15553751906260477</v>
      </c>
      <c r="K22" s="5">
        <f t="shared" si="0"/>
        <v>0.25077995339780335</v>
      </c>
      <c r="L22" s="5">
        <f t="shared" si="0"/>
        <v>0.40264388357919711</v>
      </c>
      <c r="M22" s="5">
        <f t="shared" ref="M22:M25" si="3">AVERAGE(J22:L22)</f>
        <v>0.26965378534653506</v>
      </c>
      <c r="N22" s="5">
        <f t="shared" ref="N22:N25" si="4">M22/$M$26</f>
        <v>0.25202436024272301</v>
      </c>
    </row>
    <row r="23" spans="1:15" x14ac:dyDescent="0.25">
      <c r="A23" s="4" t="s">
        <v>23</v>
      </c>
      <c r="B23" s="5">
        <f t="shared" ref="B23:B25" si="5">GEOMEAN(B13,E13,H13,K13,N13)</f>
        <v>0.87055056329612412</v>
      </c>
      <c r="C23" s="5">
        <f t="shared" ref="C23:D23" si="6">GEOMEAN(C13,F13,I13,L13,O13)</f>
        <v>1.1075663432482898</v>
      </c>
      <c r="D23" s="5">
        <f t="shared" si="6"/>
        <v>1.4309690811052556</v>
      </c>
      <c r="I23" s="4" t="s">
        <v>23</v>
      </c>
      <c r="J23" s="5">
        <f t="shared" si="2"/>
        <v>0.10261649341254842</v>
      </c>
      <c r="K23" s="5">
        <f t="shared" si="0"/>
        <v>0.16160110104581918</v>
      </c>
      <c r="L23" s="5">
        <f t="shared" si="0"/>
        <v>0.26564589480353545</v>
      </c>
      <c r="M23" s="5">
        <f t="shared" si="3"/>
        <v>0.176621163087301</v>
      </c>
      <c r="N23" s="5">
        <f t="shared" si="4"/>
        <v>0.16507402473582466</v>
      </c>
    </row>
    <row r="24" spans="1:15" x14ac:dyDescent="0.25">
      <c r="A24" s="4" t="s">
        <v>21</v>
      </c>
      <c r="B24" s="5">
        <f t="shared" si="5"/>
        <v>0.46105395574086389</v>
      </c>
      <c r="C24" s="5">
        <f t="shared" ref="C24:D24" si="7">GEOMEAN(C14,F14,I14,L14,O14)</f>
        <v>0.58181075915268798</v>
      </c>
      <c r="D24" s="5">
        <f t="shared" si="7"/>
        <v>0.75785828325519911</v>
      </c>
      <c r="I24" s="4" t="s">
        <v>21</v>
      </c>
      <c r="J24" s="5">
        <f t="shared" si="2"/>
        <v>5.4346918153699839E-2</v>
      </c>
      <c r="K24" s="5">
        <f t="shared" si="0"/>
        <v>8.4889957023821364E-2</v>
      </c>
      <c r="L24" s="5">
        <f t="shared" si="0"/>
        <v>0.14068923252632479</v>
      </c>
      <c r="M24" s="5">
        <f t="shared" si="3"/>
        <v>9.3308702567948654E-2</v>
      </c>
      <c r="N24" s="5">
        <f t="shared" si="4"/>
        <v>8.7208366237266161E-2</v>
      </c>
    </row>
    <row r="25" spans="1:15" x14ac:dyDescent="0.25">
      <c r="A25" s="4" t="s">
        <v>22</v>
      </c>
      <c r="B25" s="5">
        <f t="shared" si="5"/>
        <v>0.24417967096529347</v>
      </c>
      <c r="C25" s="5">
        <f t="shared" ref="C25:D25" si="8">GEOMEAN(C15,F15,I15,L15,O15)</f>
        <v>0.28573809127083305</v>
      </c>
      <c r="D25" s="5">
        <f t="shared" si="8"/>
        <v>0.34941355938578961</v>
      </c>
      <c r="I25" s="4" t="s">
        <v>22</v>
      </c>
      <c r="J25" s="5">
        <f t="shared" si="2"/>
        <v>2.8782775697963687E-2</v>
      </c>
      <c r="K25" s="5">
        <f t="shared" si="0"/>
        <v>4.1691037689600446E-2</v>
      </c>
      <c r="L25" s="5">
        <f t="shared" si="0"/>
        <v>6.4865327186408236E-2</v>
      </c>
      <c r="M25" s="5">
        <f t="shared" si="3"/>
        <v>4.5113046857990786E-2</v>
      </c>
      <c r="N25" s="5">
        <f t="shared" si="4"/>
        <v>4.2163646092985244E-2</v>
      </c>
    </row>
    <row r="26" spans="1:15" x14ac:dyDescent="0.25">
      <c r="A26" s="10" t="s">
        <v>43</v>
      </c>
      <c r="B26" s="6">
        <f>SUM(B21:B25)</f>
        <v>5.3867539800062101</v>
      </c>
      <c r="C26" s="6">
        <f t="shared" ref="C26:D26" si="9">SUM(C21:C25)</f>
        <v>6.8537054270085607</v>
      </c>
      <c r="D26" s="6">
        <f t="shared" si="9"/>
        <v>8.483534511321249</v>
      </c>
      <c r="I26" s="10" t="s">
        <v>43</v>
      </c>
      <c r="J26" s="6"/>
      <c r="K26" s="6"/>
      <c r="L26" s="6"/>
      <c r="M26" s="6">
        <f>SUM(M21:M25)</f>
        <v>1.0699512741023656</v>
      </c>
      <c r="N26" s="6">
        <f>SUM(N21:N25)</f>
        <v>0.99999999999999989</v>
      </c>
    </row>
    <row r="27" spans="1:15" x14ac:dyDescent="0.25">
      <c r="A27" s="10" t="s">
        <v>44</v>
      </c>
      <c r="B27" s="6">
        <f>MINVERSE(B26)</f>
        <v>0.18564055527905271</v>
      </c>
      <c r="C27" s="6">
        <f t="shared" ref="C27:D27" si="10">MINVERSE(C26)</f>
        <v>0.14590647506665169</v>
      </c>
      <c r="D27" s="6">
        <f t="shared" si="10"/>
        <v>0.11787539717855845</v>
      </c>
    </row>
    <row r="28" spans="1:15" x14ac:dyDescent="0.25">
      <c r="A28" s="10" t="s">
        <v>45</v>
      </c>
      <c r="B28" s="6">
        <f>D27</f>
        <v>0.11787539717855845</v>
      </c>
      <c r="C28" s="6">
        <f>C27</f>
        <v>0.14590647506665169</v>
      </c>
      <c r="D28" s="6">
        <f>B27</f>
        <v>0.18564055527905271</v>
      </c>
    </row>
  </sheetData>
  <mergeCells count="12">
    <mergeCell ref="B20:D20"/>
    <mergeCell ref="J20:L20"/>
    <mergeCell ref="B1:D1"/>
    <mergeCell ref="E1:G1"/>
    <mergeCell ref="H1:J1"/>
    <mergeCell ref="K1:M1"/>
    <mergeCell ref="N1:P1"/>
    <mergeCell ref="B10:D10"/>
    <mergeCell ref="E10:G10"/>
    <mergeCell ref="H10:J10"/>
    <mergeCell ref="K10:M10"/>
    <mergeCell ref="N10:P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D4C9-B393-4C07-969A-941A9510AF1A}">
  <dimension ref="A1:N26"/>
  <sheetViews>
    <sheetView workbookViewId="0">
      <selection activeCell="N21" sqref="N21:N23"/>
    </sheetView>
  </sheetViews>
  <sheetFormatPr defaultRowHeight="15" x14ac:dyDescent="0.25"/>
  <cols>
    <col min="1" max="1" width="23" customWidth="1"/>
    <col min="9" max="9" width="12.28515625" customWidth="1"/>
    <col min="13" max="13" width="10.5703125" customWidth="1"/>
  </cols>
  <sheetData>
    <row r="1" spans="1:10" x14ac:dyDescent="0.25">
      <c r="A1" s="4"/>
      <c r="B1" s="14" t="s">
        <v>11</v>
      </c>
      <c r="C1" s="14"/>
      <c r="D1" s="14"/>
      <c r="E1" s="14" t="s">
        <v>18</v>
      </c>
      <c r="F1" s="14"/>
      <c r="G1" s="14"/>
      <c r="H1" s="14" t="s">
        <v>19</v>
      </c>
      <c r="I1" s="14"/>
      <c r="J1" s="14"/>
    </row>
    <row r="2" spans="1:10" x14ac:dyDescent="0.25">
      <c r="A2" s="4" t="s">
        <v>11</v>
      </c>
      <c r="B2" s="5">
        <v>1</v>
      </c>
      <c r="C2" s="5">
        <v>1</v>
      </c>
      <c r="D2" s="5">
        <v>1</v>
      </c>
      <c r="E2" s="6">
        <v>4</v>
      </c>
      <c r="F2" s="6">
        <v>5</v>
      </c>
      <c r="G2" s="6">
        <v>6</v>
      </c>
      <c r="H2" s="7">
        <v>4</v>
      </c>
      <c r="I2" s="7">
        <v>5</v>
      </c>
      <c r="J2" s="7">
        <v>6</v>
      </c>
    </row>
    <row r="3" spans="1:10" x14ac:dyDescent="0.25">
      <c r="A3" s="4" t="s">
        <v>50</v>
      </c>
      <c r="B3" s="5"/>
      <c r="C3" s="5"/>
      <c r="D3" s="5"/>
      <c r="E3" s="6">
        <v>1</v>
      </c>
      <c r="F3" s="6">
        <v>1</v>
      </c>
      <c r="G3" s="6">
        <v>1</v>
      </c>
      <c r="H3" s="7">
        <v>2</v>
      </c>
      <c r="I3" s="7">
        <v>3</v>
      </c>
      <c r="J3" s="7">
        <v>4</v>
      </c>
    </row>
    <row r="4" spans="1:10" x14ac:dyDescent="0.25">
      <c r="A4" s="4" t="s">
        <v>19</v>
      </c>
      <c r="B4" s="5"/>
      <c r="C4" s="5"/>
      <c r="D4" s="5"/>
      <c r="E4" s="6"/>
      <c r="F4" s="6"/>
      <c r="G4" s="6"/>
      <c r="H4" s="7">
        <v>1</v>
      </c>
      <c r="I4" s="7">
        <v>1</v>
      </c>
      <c r="J4" s="7">
        <v>1</v>
      </c>
    </row>
    <row r="8" spans="1:10" x14ac:dyDescent="0.25">
      <c r="A8" s="4"/>
      <c r="B8" s="14" t="s">
        <v>11</v>
      </c>
      <c r="C8" s="14"/>
      <c r="D8" s="14"/>
      <c r="E8" s="14" t="s">
        <v>18</v>
      </c>
      <c r="F8" s="14"/>
      <c r="G8" s="14"/>
      <c r="H8" s="14" t="s">
        <v>19</v>
      </c>
      <c r="I8" s="14"/>
      <c r="J8" s="14"/>
    </row>
    <row r="9" spans="1:10" x14ac:dyDescent="0.25">
      <c r="A9" s="4" t="s">
        <v>11</v>
      </c>
      <c r="B9" s="5">
        <v>1</v>
      </c>
      <c r="C9" s="5">
        <v>1</v>
      </c>
      <c r="D9" s="5">
        <v>1</v>
      </c>
      <c r="E9" s="6">
        <v>4</v>
      </c>
      <c r="F9" s="6">
        <v>5</v>
      </c>
      <c r="G9" s="6">
        <v>6</v>
      </c>
      <c r="H9" s="7">
        <v>4</v>
      </c>
      <c r="I9" s="7">
        <v>5</v>
      </c>
      <c r="J9" s="7">
        <v>6</v>
      </c>
    </row>
    <row r="10" spans="1:10" x14ac:dyDescent="0.25">
      <c r="A10" s="4" t="s">
        <v>50</v>
      </c>
      <c r="B10" s="5">
        <f>1/G2</f>
        <v>0.16666666666666666</v>
      </c>
      <c r="C10" s="5">
        <f>1/F2</f>
        <v>0.2</v>
      </c>
      <c r="D10" s="5">
        <f>1/E2</f>
        <v>0.25</v>
      </c>
      <c r="E10" s="6">
        <v>1</v>
      </c>
      <c r="F10" s="6">
        <v>1</v>
      </c>
      <c r="G10" s="6">
        <v>1</v>
      </c>
      <c r="H10" s="7">
        <v>2</v>
      </c>
      <c r="I10" s="7">
        <v>3</v>
      </c>
      <c r="J10" s="7">
        <v>4</v>
      </c>
    </row>
    <row r="11" spans="1:10" x14ac:dyDescent="0.25">
      <c r="A11" s="4" t="s">
        <v>19</v>
      </c>
      <c r="B11" s="5">
        <f>1/J2</f>
        <v>0.16666666666666666</v>
      </c>
      <c r="C11" s="5">
        <f>1/I2</f>
        <v>0.2</v>
      </c>
      <c r="D11" s="5">
        <f>1/H2</f>
        <v>0.25</v>
      </c>
      <c r="E11" s="6">
        <f>1/J3</f>
        <v>0.25</v>
      </c>
      <c r="F11" s="6">
        <f>1/I3</f>
        <v>0.33333333333333331</v>
      </c>
      <c r="G11" s="6">
        <f>1/H3</f>
        <v>0.5</v>
      </c>
      <c r="H11" s="7">
        <v>1</v>
      </c>
      <c r="I11" s="7">
        <v>1</v>
      </c>
      <c r="J11" s="7">
        <v>1</v>
      </c>
    </row>
    <row r="20" spans="1:14" x14ac:dyDescent="0.25">
      <c r="A20" s="4"/>
      <c r="B20" s="14" t="s">
        <v>42</v>
      </c>
      <c r="C20" s="14"/>
      <c r="D20" s="14"/>
      <c r="I20" s="4"/>
      <c r="J20" s="14" t="s">
        <v>46</v>
      </c>
      <c r="K20" s="14"/>
      <c r="L20" s="14"/>
      <c r="M20" s="4" t="s">
        <v>48</v>
      </c>
      <c r="N20" s="4" t="s">
        <v>49</v>
      </c>
    </row>
    <row r="21" spans="1:14" x14ac:dyDescent="0.25">
      <c r="A21" s="4" t="s">
        <v>11</v>
      </c>
      <c r="B21" s="5">
        <f>GEOMEAN(B9,E9,H9)</f>
        <v>2.5198420997897464</v>
      </c>
      <c r="C21" s="5">
        <f t="shared" ref="C21:D23" si="0">GEOMEAN(C9,F9,I9)</f>
        <v>2.924017738212866</v>
      </c>
      <c r="D21" s="5">
        <f t="shared" si="0"/>
        <v>3.3019272488946267</v>
      </c>
      <c r="I21" s="4" t="s">
        <v>11</v>
      </c>
      <c r="J21" s="5">
        <f>B21*B$26</f>
        <v>0.52475640907925003</v>
      </c>
      <c r="K21" s="5">
        <f>C21*C$26</f>
        <v>0.70071085837635982</v>
      </c>
      <c r="L21" s="5">
        <f>D21*D$26</f>
        <v>0.92753787437986412</v>
      </c>
      <c r="M21" s="5">
        <f>AVERAGE(J21:L21)</f>
        <v>0.71766838061182459</v>
      </c>
      <c r="N21" s="5">
        <f>M21/$M$24</f>
        <v>0.69671023089197737</v>
      </c>
    </row>
    <row r="22" spans="1:14" x14ac:dyDescent="0.25">
      <c r="A22" s="4" t="s">
        <v>50</v>
      </c>
      <c r="B22" s="5">
        <f t="shared" ref="B22:B23" si="1">GEOMEAN(B10,E10,H10)</f>
        <v>0.69336127435063466</v>
      </c>
      <c r="C22" s="5">
        <f t="shared" si="0"/>
        <v>0.84343266530174932</v>
      </c>
      <c r="D22" s="5">
        <f t="shared" si="0"/>
        <v>1</v>
      </c>
      <c r="I22" s="4" t="s">
        <v>50</v>
      </c>
      <c r="J22" s="5">
        <f t="shared" ref="J22:J23" si="2">B22*B$26</f>
        <v>0.14439229051423927</v>
      </c>
      <c r="K22" s="5">
        <f t="shared" ref="K22:K23" si="3">C22*C$26</f>
        <v>0.20211998688060809</v>
      </c>
      <c r="L22" s="5">
        <f t="shared" ref="L22:L23" si="4">D22*D$26</f>
        <v>0.28090802869456688</v>
      </c>
      <c r="M22" s="5">
        <f t="shared" ref="M22:M23" si="5">AVERAGE(J22:L22)</f>
        <v>0.20914010202980474</v>
      </c>
      <c r="N22" s="5">
        <f>M22/$M$24</f>
        <v>0.20303256031669759</v>
      </c>
    </row>
    <row r="23" spans="1:14" x14ac:dyDescent="0.25">
      <c r="A23" s="4" t="s">
        <v>19</v>
      </c>
      <c r="B23" s="5">
        <f t="shared" si="1"/>
        <v>0.34668063717531733</v>
      </c>
      <c r="C23" s="5">
        <f t="shared" si="0"/>
        <v>0.40548013303822666</v>
      </c>
      <c r="D23" s="5">
        <f t="shared" si="0"/>
        <v>0.5</v>
      </c>
      <c r="I23" s="4" t="s">
        <v>19</v>
      </c>
      <c r="J23" s="5">
        <f t="shared" si="2"/>
        <v>7.2196145257119634E-2</v>
      </c>
      <c r="K23" s="5">
        <f t="shared" si="3"/>
        <v>9.7169154743031991E-2</v>
      </c>
      <c r="L23" s="5">
        <f t="shared" si="4"/>
        <v>0.14045401434728344</v>
      </c>
      <c r="M23" s="5">
        <f t="shared" si="5"/>
        <v>0.10327310478247835</v>
      </c>
      <c r="N23" s="5">
        <f>M23/$M$24</f>
        <v>0.10025720879132509</v>
      </c>
    </row>
    <row r="24" spans="1:14" x14ac:dyDescent="0.25">
      <c r="A24" s="10" t="s">
        <v>43</v>
      </c>
      <c r="B24" s="6">
        <f>SUM(B21:B23)</f>
        <v>3.5598840113156984</v>
      </c>
      <c r="C24" s="6">
        <f>SUM(C21:C23)</f>
        <v>4.1729305365528422</v>
      </c>
      <c r="D24" s="6">
        <f>SUM(D21:D23)</f>
        <v>4.8019272488946267</v>
      </c>
      <c r="I24" s="10" t="s">
        <v>43</v>
      </c>
      <c r="J24" s="6"/>
      <c r="K24" s="6"/>
      <c r="L24" s="6"/>
      <c r="M24" s="6">
        <f>SUM(M21:M23)</f>
        <v>1.0300815874241076</v>
      </c>
      <c r="N24" s="6">
        <f>SUM(N21:N23)</f>
        <v>1</v>
      </c>
    </row>
    <row r="25" spans="1:14" x14ac:dyDescent="0.25">
      <c r="A25" s="10" t="s">
        <v>44</v>
      </c>
      <c r="B25" s="6">
        <f>MINVERSE(B24)</f>
        <v>0.28090802869456688</v>
      </c>
      <c r="C25" s="6">
        <f t="shared" ref="C25:D25" si="6">MINVERSE(C24)</f>
        <v>0.23963974267975138</v>
      </c>
      <c r="D25" s="6">
        <f t="shared" si="6"/>
        <v>0.20824971894986408</v>
      </c>
    </row>
    <row r="26" spans="1:14" x14ac:dyDescent="0.25">
      <c r="A26" s="10" t="s">
        <v>45</v>
      </c>
      <c r="B26" s="6">
        <f>D25</f>
        <v>0.20824971894986408</v>
      </c>
      <c r="C26" s="6">
        <f>C25</f>
        <v>0.23963974267975138</v>
      </c>
      <c r="D26" s="6">
        <f>B25</f>
        <v>0.28090802869456688</v>
      </c>
    </row>
  </sheetData>
  <mergeCells count="8">
    <mergeCell ref="B20:D20"/>
    <mergeCell ref="J20:L20"/>
    <mergeCell ref="B1:D1"/>
    <mergeCell ref="E1:G1"/>
    <mergeCell ref="H1:J1"/>
    <mergeCell ref="B8:D8"/>
    <mergeCell ref="E8:G8"/>
    <mergeCell ref="H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2FD8-F38B-411E-94C7-9BC43F7F87B8}">
  <dimension ref="A1:N29"/>
  <sheetViews>
    <sheetView topLeftCell="A10" workbookViewId="0">
      <selection activeCell="I20" sqref="I20:N25"/>
    </sheetView>
  </sheetViews>
  <sheetFormatPr defaultRowHeight="15" x14ac:dyDescent="0.25"/>
  <sheetData>
    <row r="1" spans="1:13" x14ac:dyDescent="0.25">
      <c r="A1" s="4"/>
      <c r="B1" s="14" t="s">
        <v>16</v>
      </c>
      <c r="C1" s="14"/>
      <c r="D1" s="14"/>
      <c r="E1" s="14" t="s">
        <v>14</v>
      </c>
      <c r="F1" s="14"/>
      <c r="G1" s="14"/>
      <c r="H1" s="14" t="s">
        <v>15</v>
      </c>
      <c r="I1" s="14"/>
      <c r="J1" s="14"/>
      <c r="K1" s="14" t="s">
        <v>2</v>
      </c>
      <c r="L1" s="14"/>
      <c r="M1" s="14"/>
    </row>
    <row r="2" spans="1:13" x14ac:dyDescent="0.25">
      <c r="A2" s="4" t="s">
        <v>16</v>
      </c>
      <c r="B2" s="5">
        <v>1</v>
      </c>
      <c r="C2" s="5">
        <v>1</v>
      </c>
      <c r="D2" s="5">
        <v>1</v>
      </c>
      <c r="E2" s="6">
        <v>2</v>
      </c>
      <c r="F2" s="6">
        <v>3</v>
      </c>
      <c r="G2" s="6">
        <v>4</v>
      </c>
      <c r="H2" s="7">
        <v>2</v>
      </c>
      <c r="I2" s="7">
        <v>3</v>
      </c>
      <c r="J2" s="7">
        <v>4</v>
      </c>
      <c r="K2" s="8">
        <v>4</v>
      </c>
      <c r="L2" s="8">
        <v>5</v>
      </c>
      <c r="M2" s="8">
        <v>6</v>
      </c>
    </row>
    <row r="3" spans="1:13" x14ac:dyDescent="0.25">
      <c r="A3" s="4" t="s">
        <v>14</v>
      </c>
      <c r="B3" s="5"/>
      <c r="C3" s="5"/>
      <c r="D3" s="5"/>
      <c r="E3" s="6">
        <v>1</v>
      </c>
      <c r="F3" s="6">
        <v>1</v>
      </c>
      <c r="G3" s="6">
        <v>1</v>
      </c>
      <c r="H3" s="7">
        <v>2</v>
      </c>
      <c r="I3" s="7">
        <v>3</v>
      </c>
      <c r="J3" s="7">
        <v>4</v>
      </c>
      <c r="K3" s="8">
        <v>4</v>
      </c>
      <c r="L3" s="8">
        <v>5</v>
      </c>
      <c r="M3" s="8">
        <v>6</v>
      </c>
    </row>
    <row r="4" spans="1:13" x14ac:dyDescent="0.25">
      <c r="A4" s="4" t="s">
        <v>15</v>
      </c>
      <c r="B4" s="5"/>
      <c r="C4" s="5"/>
      <c r="D4" s="5"/>
      <c r="E4" s="6"/>
      <c r="F4" s="6"/>
      <c r="G4" s="6"/>
      <c r="H4" s="7">
        <v>1</v>
      </c>
      <c r="I4" s="7">
        <v>1</v>
      </c>
      <c r="J4" s="7">
        <v>1</v>
      </c>
      <c r="K4" s="8">
        <v>2</v>
      </c>
      <c r="L4" s="8">
        <v>3</v>
      </c>
      <c r="M4" s="8">
        <v>4</v>
      </c>
    </row>
    <row r="5" spans="1:13" x14ac:dyDescent="0.25">
      <c r="A5" s="4" t="s">
        <v>2</v>
      </c>
      <c r="B5" s="5"/>
      <c r="C5" s="5"/>
      <c r="D5" s="5"/>
      <c r="E5" s="6"/>
      <c r="F5" s="6"/>
      <c r="G5" s="6"/>
      <c r="H5" s="7"/>
      <c r="I5" s="7"/>
      <c r="J5" s="7"/>
      <c r="K5" s="8">
        <v>1</v>
      </c>
      <c r="L5" s="8">
        <v>1</v>
      </c>
      <c r="M5" s="8">
        <v>1</v>
      </c>
    </row>
    <row r="10" spans="1:13" x14ac:dyDescent="0.25">
      <c r="A10" s="4"/>
      <c r="B10" s="14" t="s">
        <v>16</v>
      </c>
      <c r="C10" s="14"/>
      <c r="D10" s="14"/>
      <c r="E10" s="14" t="s">
        <v>14</v>
      </c>
      <c r="F10" s="14"/>
      <c r="G10" s="14"/>
      <c r="H10" s="14" t="s">
        <v>15</v>
      </c>
      <c r="I10" s="14"/>
      <c r="J10" s="14"/>
      <c r="K10" s="14" t="s">
        <v>2</v>
      </c>
      <c r="L10" s="14"/>
      <c r="M10" s="14"/>
    </row>
    <row r="11" spans="1:13" x14ac:dyDescent="0.25">
      <c r="A11" s="4" t="s">
        <v>16</v>
      </c>
      <c r="B11" s="5">
        <v>1</v>
      </c>
      <c r="C11" s="5">
        <v>1</v>
      </c>
      <c r="D11" s="5">
        <v>1</v>
      </c>
      <c r="E11" s="6">
        <v>2</v>
      </c>
      <c r="F11" s="6">
        <v>3</v>
      </c>
      <c r="G11" s="6">
        <v>4</v>
      </c>
      <c r="H11" s="7">
        <v>2</v>
      </c>
      <c r="I11" s="7">
        <v>3</v>
      </c>
      <c r="J11" s="7">
        <v>4</v>
      </c>
      <c r="K11" s="8">
        <v>4</v>
      </c>
      <c r="L11" s="8">
        <v>5</v>
      </c>
      <c r="M11" s="8">
        <v>6</v>
      </c>
    </row>
    <row r="12" spans="1:13" x14ac:dyDescent="0.25">
      <c r="A12" s="4" t="s">
        <v>14</v>
      </c>
      <c r="B12" s="5">
        <v>0.25</v>
      </c>
      <c r="C12" s="5">
        <v>0.33333333333333331</v>
      </c>
      <c r="D12" s="5">
        <v>0.5</v>
      </c>
      <c r="E12" s="6">
        <v>1</v>
      </c>
      <c r="F12" s="6">
        <v>1</v>
      </c>
      <c r="G12" s="6">
        <v>1</v>
      </c>
      <c r="H12" s="7">
        <v>2</v>
      </c>
      <c r="I12" s="7">
        <v>3</v>
      </c>
      <c r="J12" s="7">
        <v>4</v>
      </c>
      <c r="K12" s="8">
        <v>4</v>
      </c>
      <c r="L12" s="8">
        <v>5</v>
      </c>
      <c r="M12" s="8">
        <v>6</v>
      </c>
    </row>
    <row r="13" spans="1:13" x14ac:dyDescent="0.25">
      <c r="A13" s="4" t="s">
        <v>15</v>
      </c>
      <c r="B13" s="5">
        <v>0.25</v>
      </c>
      <c r="C13" s="5">
        <v>0.33333333333333331</v>
      </c>
      <c r="D13" s="5">
        <v>0.5</v>
      </c>
      <c r="E13" s="6">
        <v>0.25</v>
      </c>
      <c r="F13" s="6">
        <v>0.33333333333333331</v>
      </c>
      <c r="G13" s="6">
        <v>0.5</v>
      </c>
      <c r="H13" s="7">
        <v>1</v>
      </c>
      <c r="I13" s="7">
        <v>1</v>
      </c>
      <c r="J13" s="7">
        <v>1</v>
      </c>
      <c r="K13" s="8">
        <v>2</v>
      </c>
      <c r="L13" s="8">
        <v>3</v>
      </c>
      <c r="M13" s="8">
        <v>4</v>
      </c>
    </row>
    <row r="14" spans="1:13" x14ac:dyDescent="0.25">
      <c r="A14" s="4" t="s">
        <v>2</v>
      </c>
      <c r="B14" s="5">
        <v>0.16666666666666666</v>
      </c>
      <c r="C14" s="5">
        <v>0.2</v>
      </c>
      <c r="D14" s="5">
        <v>0.25</v>
      </c>
      <c r="E14" s="6">
        <v>0.16666666666666666</v>
      </c>
      <c r="F14" s="6">
        <v>0.2</v>
      </c>
      <c r="G14" s="6">
        <v>0.25</v>
      </c>
      <c r="H14" s="7">
        <v>0.25</v>
      </c>
      <c r="I14" s="7">
        <v>0.33333333333333331</v>
      </c>
      <c r="J14" s="7">
        <v>0.5</v>
      </c>
      <c r="K14" s="8">
        <v>1</v>
      </c>
      <c r="L14" s="8">
        <v>1</v>
      </c>
      <c r="M14" s="8">
        <v>1</v>
      </c>
    </row>
    <row r="20" spans="1:14" x14ac:dyDescent="0.25">
      <c r="A20" s="4"/>
      <c r="B20" s="14" t="s">
        <v>42</v>
      </c>
      <c r="C20" s="14"/>
      <c r="D20" s="14"/>
      <c r="E20" s="1"/>
      <c r="F20" s="1"/>
      <c r="G20" s="1"/>
      <c r="H20" s="1"/>
      <c r="I20" s="4"/>
      <c r="J20" s="14" t="s">
        <v>46</v>
      </c>
      <c r="K20" s="14"/>
      <c r="L20" s="14"/>
      <c r="M20" s="4" t="s">
        <v>48</v>
      </c>
      <c r="N20" s="4" t="s">
        <v>49</v>
      </c>
    </row>
    <row r="21" spans="1:14" x14ac:dyDescent="0.25">
      <c r="A21" s="4" t="s">
        <v>16</v>
      </c>
      <c r="B21" s="5">
        <f>GEOMEAN(B11,E11,H11,K11)</f>
        <v>2</v>
      </c>
      <c r="C21" s="5">
        <f t="shared" ref="C21:D21" si="0">GEOMEAN(C11,F11,I11,L11)</f>
        <v>2.5900200641113513</v>
      </c>
      <c r="D21" s="5">
        <f t="shared" si="0"/>
        <v>3.1301691601465746</v>
      </c>
      <c r="E21" s="1"/>
      <c r="F21" s="1"/>
      <c r="G21" s="1"/>
      <c r="H21" s="1"/>
      <c r="I21" s="4" t="s">
        <v>16</v>
      </c>
      <c r="J21" s="5">
        <f t="shared" ref="J21:L24" si="1">B21*B$27</f>
        <v>0.31192357079839339</v>
      </c>
      <c r="K21" s="5">
        <f t="shared" si="1"/>
        <v>0.49952042054991475</v>
      </c>
      <c r="L21" s="5">
        <f t="shared" si="1"/>
        <v>0.7686138904868044</v>
      </c>
      <c r="M21" s="5">
        <f>AVERAGE(J21:L21)</f>
        <v>0.52668596061170414</v>
      </c>
      <c r="N21" s="5">
        <f>M21/$M$25</f>
        <v>0.49229458175091201</v>
      </c>
    </row>
    <row r="22" spans="1:14" x14ac:dyDescent="0.25">
      <c r="A22" s="4" t="s">
        <v>14</v>
      </c>
      <c r="B22" s="5">
        <f t="shared" ref="B22:B24" si="2">GEOMEAN(B12,E12,H12,K12)</f>
        <v>1.189207115002721</v>
      </c>
      <c r="C22" s="5">
        <f t="shared" ref="C22:C24" si="3">GEOMEAN(C12,F12,I12,L12)</f>
        <v>1.4953487812212205</v>
      </c>
      <c r="D22" s="5">
        <f t="shared" ref="D22:D24" si="4">GEOMEAN(D12,G12,J12,M12)</f>
        <v>1.8612097182041991</v>
      </c>
      <c r="E22" s="1"/>
      <c r="F22" s="1"/>
      <c r="G22" s="1"/>
      <c r="H22" s="1"/>
      <c r="I22" s="4" t="s">
        <v>14</v>
      </c>
      <c r="J22" s="5">
        <f t="shared" si="1"/>
        <v>0.18547086486525219</v>
      </c>
      <c r="K22" s="5">
        <f t="shared" si="1"/>
        <v>0.28839824927020835</v>
      </c>
      <c r="L22" s="5">
        <f t="shared" si="1"/>
        <v>0.45702055362841504</v>
      </c>
      <c r="M22" s="5">
        <f t="shared" ref="M22:M24" si="5">AVERAGE(J22:L22)</f>
        <v>0.31029655592129185</v>
      </c>
      <c r="N22" s="5">
        <f>M22/$M$25</f>
        <v>0.2900349062629376</v>
      </c>
    </row>
    <row r="23" spans="1:14" x14ac:dyDescent="0.25">
      <c r="A23" s="4" t="s">
        <v>15</v>
      </c>
      <c r="B23" s="5">
        <f t="shared" si="2"/>
        <v>0.59460355750136051</v>
      </c>
      <c r="C23" s="5">
        <f t="shared" si="3"/>
        <v>0.75983568565159254</v>
      </c>
      <c r="D23" s="5">
        <f t="shared" si="4"/>
        <v>1</v>
      </c>
      <c r="E23" s="1"/>
      <c r="F23" s="1"/>
      <c r="G23" s="1"/>
      <c r="H23" s="1"/>
      <c r="I23" s="4" t="s">
        <v>15</v>
      </c>
      <c r="J23" s="5">
        <f t="shared" si="1"/>
        <v>9.2735432432626094E-2</v>
      </c>
      <c r="K23" s="5">
        <f t="shared" si="1"/>
        <v>0.14654459496465058</v>
      </c>
      <c r="L23" s="5">
        <f t="shared" si="1"/>
        <v>0.24555027257722167</v>
      </c>
      <c r="M23" s="5">
        <f t="shared" si="5"/>
        <v>0.16161009999149945</v>
      </c>
      <c r="N23" s="5">
        <f>M23/$M$25</f>
        <v>0.15105733308257524</v>
      </c>
    </row>
    <row r="24" spans="1:14" x14ac:dyDescent="0.25">
      <c r="A24" s="4" t="s">
        <v>2</v>
      </c>
      <c r="B24" s="5">
        <f t="shared" si="2"/>
        <v>0.28867513459481287</v>
      </c>
      <c r="C24" s="5">
        <f t="shared" si="3"/>
        <v>0.33980884896942454</v>
      </c>
      <c r="D24" s="5">
        <f t="shared" si="4"/>
        <v>0.42044820762685725</v>
      </c>
      <c r="E24" s="1"/>
      <c r="F24" s="1"/>
      <c r="G24" s="1"/>
      <c r="H24" s="1"/>
      <c r="I24" s="4" t="s">
        <v>2</v>
      </c>
      <c r="J24" s="5">
        <f t="shared" si="1"/>
        <v>4.5022289391760423E-2</v>
      </c>
      <c r="K24" s="5">
        <f t="shared" si="1"/>
        <v>6.5536735215226433E-2</v>
      </c>
      <c r="L24" s="5">
        <f t="shared" si="1"/>
        <v>0.10324117198737909</v>
      </c>
      <c r="M24" s="5">
        <f t="shared" si="5"/>
        <v>7.1266732198121976E-2</v>
      </c>
      <c r="N24" s="5">
        <f>M24/$M$25</f>
        <v>6.6613178903575015E-2</v>
      </c>
    </row>
    <row r="25" spans="1:14" x14ac:dyDescent="0.25">
      <c r="A25" s="10" t="s">
        <v>43</v>
      </c>
      <c r="B25" s="6">
        <f>SUM(B21:B24)</f>
        <v>4.0724858070988939</v>
      </c>
      <c r="C25" s="6">
        <f>SUM(C21:C24)</f>
        <v>5.1850133799535882</v>
      </c>
      <c r="D25" s="6">
        <f>SUM(D21:D24)</f>
        <v>6.411827085977631</v>
      </c>
      <c r="E25" s="1"/>
      <c r="F25" s="1"/>
      <c r="G25" s="1"/>
      <c r="H25" s="1"/>
      <c r="I25" s="10" t="s">
        <v>43</v>
      </c>
      <c r="J25" s="6"/>
      <c r="K25" s="6"/>
      <c r="L25" s="6"/>
      <c r="M25" s="6">
        <f>SUM(M21:M24)</f>
        <v>1.0698593487226176</v>
      </c>
      <c r="N25" s="6">
        <f>SUM(N21:N24)</f>
        <v>0.99999999999999989</v>
      </c>
    </row>
    <row r="26" spans="1:14" x14ac:dyDescent="0.25">
      <c r="A26" s="10" t="s">
        <v>44</v>
      </c>
      <c r="B26" s="6">
        <f>MINVERSE(B25)</f>
        <v>0.24555027257722167</v>
      </c>
      <c r="C26" s="6">
        <f t="shared" ref="C26:D26" si="6">MINVERSE(C25)</f>
        <v>0.19286353317162533</v>
      </c>
      <c r="D26" s="6">
        <f t="shared" si="6"/>
        <v>0.1559617853991967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0" t="s">
        <v>45</v>
      </c>
      <c r="B27" s="6">
        <f>D26</f>
        <v>0.1559617853991967</v>
      </c>
      <c r="C27" s="6">
        <f>C26</f>
        <v>0.19286353317162533</v>
      </c>
      <c r="D27" s="6">
        <f>B26</f>
        <v>0.24555027257722167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</sheetData>
  <mergeCells count="10">
    <mergeCell ref="B20:D20"/>
    <mergeCell ref="J20:L20"/>
    <mergeCell ref="B1:D1"/>
    <mergeCell ref="E1:G1"/>
    <mergeCell ref="H1:J1"/>
    <mergeCell ref="K1:M1"/>
    <mergeCell ref="B10:D10"/>
    <mergeCell ref="E10:G10"/>
    <mergeCell ref="H10:J10"/>
    <mergeCell ref="K10:M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84E8-5165-4BE2-9811-3B06637EE2A1}">
  <dimension ref="A1:N29"/>
  <sheetViews>
    <sheetView topLeftCell="A10" workbookViewId="0">
      <selection activeCell="I20" sqref="I20:N25"/>
    </sheetView>
  </sheetViews>
  <sheetFormatPr defaultRowHeight="15" x14ac:dyDescent="0.25"/>
  <cols>
    <col min="1" max="1" width="19.5703125" customWidth="1"/>
    <col min="9" max="9" width="16.85546875" customWidth="1"/>
  </cols>
  <sheetData>
    <row r="1" spans="1:13" x14ac:dyDescent="0.25">
      <c r="A1" s="4"/>
      <c r="B1" s="14" t="s">
        <v>8</v>
      </c>
      <c r="C1" s="14"/>
      <c r="D1" s="14"/>
      <c r="E1" s="14" t="s">
        <v>4</v>
      </c>
      <c r="F1" s="14"/>
      <c r="G1" s="14"/>
      <c r="H1" s="14" t="s">
        <v>5</v>
      </c>
      <c r="I1" s="14"/>
      <c r="J1" s="14"/>
      <c r="K1" s="14" t="s">
        <v>3</v>
      </c>
      <c r="L1" s="14"/>
      <c r="M1" s="14"/>
    </row>
    <row r="2" spans="1:13" x14ac:dyDescent="0.25">
      <c r="A2" s="4" t="s">
        <v>8</v>
      </c>
      <c r="B2" s="5">
        <v>1</v>
      </c>
      <c r="C2" s="5">
        <v>1</v>
      </c>
      <c r="D2" s="5">
        <v>1</v>
      </c>
      <c r="E2" s="6">
        <v>2</v>
      </c>
      <c r="F2" s="6">
        <v>3</v>
      </c>
      <c r="G2" s="6">
        <v>4</v>
      </c>
      <c r="H2" s="7">
        <v>4</v>
      </c>
      <c r="I2" s="7">
        <v>5</v>
      </c>
      <c r="J2" s="7">
        <v>6</v>
      </c>
      <c r="K2" s="8">
        <v>4</v>
      </c>
      <c r="L2" s="8">
        <v>5</v>
      </c>
      <c r="M2" s="8">
        <v>6</v>
      </c>
    </row>
    <row r="3" spans="1:13" x14ac:dyDescent="0.25">
      <c r="A3" s="4" t="s">
        <v>4</v>
      </c>
      <c r="B3" s="5"/>
      <c r="C3" s="5"/>
      <c r="D3" s="5"/>
      <c r="E3" s="6">
        <v>1</v>
      </c>
      <c r="F3" s="6">
        <v>1</v>
      </c>
      <c r="G3" s="6">
        <v>1</v>
      </c>
      <c r="H3" s="7">
        <v>2</v>
      </c>
      <c r="I3" s="7">
        <v>3</v>
      </c>
      <c r="J3" s="7">
        <v>4</v>
      </c>
      <c r="K3" s="8">
        <v>4</v>
      </c>
      <c r="L3" s="8">
        <v>5</v>
      </c>
      <c r="M3" s="8">
        <v>6</v>
      </c>
    </row>
    <row r="4" spans="1:13" x14ac:dyDescent="0.25">
      <c r="A4" s="4" t="s">
        <v>5</v>
      </c>
      <c r="B4" s="5"/>
      <c r="C4" s="5"/>
      <c r="D4" s="5"/>
      <c r="E4" s="6"/>
      <c r="F4" s="6"/>
      <c r="G4" s="6"/>
      <c r="H4" s="7">
        <v>1</v>
      </c>
      <c r="I4" s="7">
        <v>1</v>
      </c>
      <c r="J4" s="7">
        <v>1</v>
      </c>
      <c r="K4" s="8">
        <v>2</v>
      </c>
      <c r="L4" s="8">
        <v>3</v>
      </c>
      <c r="M4" s="8">
        <v>4</v>
      </c>
    </row>
    <row r="5" spans="1:13" x14ac:dyDescent="0.25">
      <c r="A5" s="4" t="s">
        <v>3</v>
      </c>
      <c r="B5" s="5"/>
      <c r="C5" s="5"/>
      <c r="D5" s="5"/>
      <c r="E5" s="6"/>
      <c r="F5" s="6"/>
      <c r="G5" s="6"/>
      <c r="H5" s="7"/>
      <c r="I5" s="7"/>
      <c r="J5" s="7"/>
      <c r="K5" s="8">
        <v>1</v>
      </c>
      <c r="L5" s="8">
        <v>1</v>
      </c>
      <c r="M5" s="8">
        <v>1</v>
      </c>
    </row>
    <row r="10" spans="1:13" x14ac:dyDescent="0.25">
      <c r="A10" s="4"/>
      <c r="B10" s="14" t="s">
        <v>8</v>
      </c>
      <c r="C10" s="14"/>
      <c r="D10" s="14"/>
      <c r="E10" s="14" t="s">
        <v>4</v>
      </c>
      <c r="F10" s="14"/>
      <c r="G10" s="14"/>
      <c r="H10" s="14" t="s">
        <v>5</v>
      </c>
      <c r="I10" s="14"/>
      <c r="J10" s="14"/>
      <c r="K10" s="14" t="s">
        <v>3</v>
      </c>
      <c r="L10" s="14"/>
      <c r="M10" s="14"/>
    </row>
    <row r="11" spans="1:13" x14ac:dyDescent="0.25">
      <c r="A11" s="4" t="s">
        <v>8</v>
      </c>
      <c r="B11" s="5">
        <v>1</v>
      </c>
      <c r="C11" s="5">
        <v>1</v>
      </c>
      <c r="D11" s="5">
        <v>1</v>
      </c>
      <c r="E11" s="6">
        <v>2</v>
      </c>
      <c r="F11" s="6">
        <v>3</v>
      </c>
      <c r="G11" s="6">
        <v>4</v>
      </c>
      <c r="H11" s="7">
        <v>2</v>
      </c>
      <c r="I11" s="7">
        <v>3</v>
      </c>
      <c r="J11" s="7">
        <v>4</v>
      </c>
      <c r="K11" s="8">
        <v>4</v>
      </c>
      <c r="L11" s="8">
        <v>5</v>
      </c>
      <c r="M11" s="8">
        <v>6</v>
      </c>
    </row>
    <row r="12" spans="1:13" x14ac:dyDescent="0.25">
      <c r="A12" s="4" t="s">
        <v>4</v>
      </c>
      <c r="B12" s="5">
        <v>0.25</v>
      </c>
      <c r="C12" s="5">
        <v>0.33333333333333331</v>
      </c>
      <c r="D12" s="5">
        <v>0.5</v>
      </c>
      <c r="E12" s="6">
        <v>1</v>
      </c>
      <c r="F12" s="6">
        <v>1</v>
      </c>
      <c r="G12" s="6">
        <v>1</v>
      </c>
      <c r="H12" s="7">
        <v>2</v>
      </c>
      <c r="I12" s="7">
        <v>3</v>
      </c>
      <c r="J12" s="7">
        <v>4</v>
      </c>
      <c r="K12" s="8">
        <v>4</v>
      </c>
      <c r="L12" s="8">
        <v>5</v>
      </c>
      <c r="M12" s="8">
        <v>6</v>
      </c>
    </row>
    <row r="13" spans="1:13" x14ac:dyDescent="0.25">
      <c r="A13" s="4" t="s">
        <v>5</v>
      </c>
      <c r="B13" s="5">
        <v>0.16666666666666666</v>
      </c>
      <c r="C13" s="5">
        <v>0.2</v>
      </c>
      <c r="D13" s="5">
        <v>0.25</v>
      </c>
      <c r="E13" s="6">
        <v>0.25</v>
      </c>
      <c r="F13" s="6">
        <v>0.33333333333333331</v>
      </c>
      <c r="G13" s="6">
        <v>0.5</v>
      </c>
      <c r="H13" s="7">
        <v>1</v>
      </c>
      <c r="I13" s="7">
        <v>1</v>
      </c>
      <c r="J13" s="7">
        <v>1</v>
      </c>
      <c r="K13" s="8">
        <v>2</v>
      </c>
      <c r="L13" s="8">
        <v>3</v>
      </c>
      <c r="M13" s="8">
        <v>4</v>
      </c>
    </row>
    <row r="14" spans="1:13" x14ac:dyDescent="0.25">
      <c r="A14" s="4" t="s">
        <v>3</v>
      </c>
      <c r="B14" s="5">
        <v>0.16666666666666666</v>
      </c>
      <c r="C14" s="5">
        <v>0.2</v>
      </c>
      <c r="D14" s="5">
        <v>0.25</v>
      </c>
      <c r="E14" s="6">
        <v>0.16666666666666666</v>
      </c>
      <c r="F14" s="6">
        <v>0.2</v>
      </c>
      <c r="G14" s="6">
        <v>0.25</v>
      </c>
      <c r="H14" s="7">
        <v>0.25</v>
      </c>
      <c r="I14" s="7">
        <v>0.33333333333333331</v>
      </c>
      <c r="J14" s="7">
        <v>0.5</v>
      </c>
      <c r="K14" s="8">
        <v>1</v>
      </c>
      <c r="L14" s="8">
        <v>1</v>
      </c>
      <c r="M14" s="8">
        <v>1</v>
      </c>
    </row>
    <row r="20" spans="1:14" x14ac:dyDescent="0.25">
      <c r="A20" s="4"/>
      <c r="B20" s="14" t="s">
        <v>42</v>
      </c>
      <c r="C20" s="14"/>
      <c r="D20" s="14"/>
      <c r="E20" s="1"/>
      <c r="F20" s="1"/>
      <c r="G20" s="1"/>
      <c r="H20" s="1"/>
      <c r="I20" s="4"/>
      <c r="J20" s="14" t="s">
        <v>46</v>
      </c>
      <c r="K20" s="14"/>
      <c r="L20" s="14"/>
      <c r="M20" s="4" t="s">
        <v>48</v>
      </c>
      <c r="N20" s="4" t="s">
        <v>49</v>
      </c>
    </row>
    <row r="21" spans="1:14" x14ac:dyDescent="0.25">
      <c r="A21" s="4" t="s">
        <v>8</v>
      </c>
      <c r="B21" s="5">
        <f>GEOMEAN(B11,E11,H11,K11)</f>
        <v>2</v>
      </c>
      <c r="C21" s="5">
        <f t="shared" ref="C21:D24" si="0">GEOMEAN(C11,F11,I11,L11)</f>
        <v>2.5900200641113513</v>
      </c>
      <c r="D21" s="5">
        <f t="shared" si="0"/>
        <v>3.1301691601465746</v>
      </c>
      <c r="E21" s="1"/>
      <c r="F21" s="1"/>
      <c r="G21" s="1"/>
      <c r="H21" s="1"/>
      <c r="I21" s="4" t="s">
        <v>8</v>
      </c>
      <c r="J21" s="5">
        <f t="shared" ref="J21:L24" si="1">B21*B$27</f>
        <v>0.31986061747431194</v>
      </c>
      <c r="K21" s="5">
        <f t="shared" si="1"/>
        <v>0.50845342710232921</v>
      </c>
      <c r="L21" s="5">
        <f t="shared" si="1"/>
        <v>0.77958625186411523</v>
      </c>
      <c r="M21" s="5">
        <f>AVERAGE(J21:L21)</f>
        <v>0.53596676548025213</v>
      </c>
      <c r="N21" s="5">
        <f>M21/$M$25</f>
        <v>0.50255947255175071</v>
      </c>
    </row>
    <row r="22" spans="1:14" x14ac:dyDescent="0.25">
      <c r="A22" s="4" t="s">
        <v>4</v>
      </c>
      <c r="B22" s="5">
        <f t="shared" ref="B22:B24" si="2">GEOMEAN(B12,E12,H12,K12)</f>
        <v>1.189207115002721</v>
      </c>
      <c r="C22" s="5">
        <f t="shared" si="0"/>
        <v>1.4953487812212205</v>
      </c>
      <c r="D22" s="5">
        <f t="shared" si="0"/>
        <v>1.8612097182041991</v>
      </c>
      <c r="E22" s="1"/>
      <c r="F22" s="1"/>
      <c r="G22" s="1"/>
      <c r="H22" s="1"/>
      <c r="I22" s="4" t="s">
        <v>4</v>
      </c>
      <c r="J22" s="5">
        <f t="shared" si="1"/>
        <v>0.19019026105480771</v>
      </c>
      <c r="K22" s="5">
        <f t="shared" si="1"/>
        <v>0.29355572300791749</v>
      </c>
      <c r="L22" s="5">
        <f t="shared" si="1"/>
        <v>0.46354475873755452</v>
      </c>
      <c r="M22" s="5">
        <f t="shared" ref="M22:M24" si="3">AVERAGE(J22:L22)</f>
        <v>0.31576358093342655</v>
      </c>
      <c r="N22" s="5">
        <f>M22/$M$25</f>
        <v>0.29608175152942734</v>
      </c>
    </row>
    <row r="23" spans="1:14" x14ac:dyDescent="0.25">
      <c r="A23" s="4" t="s">
        <v>5</v>
      </c>
      <c r="B23" s="5">
        <f t="shared" si="2"/>
        <v>0.537284965911771</v>
      </c>
      <c r="C23" s="5">
        <f t="shared" si="0"/>
        <v>0.66874030497642201</v>
      </c>
      <c r="D23" s="5">
        <f t="shared" si="0"/>
        <v>0.8408964152537145</v>
      </c>
      <c r="E23" s="1"/>
      <c r="F23" s="1"/>
      <c r="G23" s="1"/>
      <c r="H23" s="1"/>
      <c r="I23" s="4" t="s">
        <v>5</v>
      </c>
      <c r="J23" s="5">
        <f t="shared" si="1"/>
        <v>8.5928150478101858E-2</v>
      </c>
      <c r="K23" s="5">
        <f t="shared" si="1"/>
        <v>0.13128211036596052</v>
      </c>
      <c r="L23" s="5">
        <f t="shared" si="1"/>
        <v>0.20942998637904819</v>
      </c>
      <c r="M23" s="5">
        <f t="shared" si="3"/>
        <v>0.14221341574103685</v>
      </c>
      <c r="N23" s="5">
        <f>M23/$M$25</f>
        <v>0.13334912499762391</v>
      </c>
    </row>
    <row r="24" spans="1:14" x14ac:dyDescent="0.25">
      <c r="A24" s="4" t="s">
        <v>3</v>
      </c>
      <c r="B24" s="5">
        <f t="shared" si="2"/>
        <v>0.28867513459481287</v>
      </c>
      <c r="C24" s="5">
        <f t="shared" si="0"/>
        <v>0.33980884896942454</v>
      </c>
      <c r="D24" s="5">
        <f t="shared" si="0"/>
        <v>0.42044820762685725</v>
      </c>
      <c r="E24" s="1"/>
      <c r="F24" s="1"/>
      <c r="G24" s="1"/>
      <c r="H24" s="1"/>
      <c r="I24" s="4" t="s">
        <v>3</v>
      </c>
      <c r="J24" s="5">
        <f t="shared" si="1"/>
        <v>4.6167903400488472E-2</v>
      </c>
      <c r="K24" s="5">
        <f t="shared" si="1"/>
        <v>6.6708739523792956E-2</v>
      </c>
      <c r="L24" s="5">
        <f t="shared" si="1"/>
        <v>0.1047149931895241</v>
      </c>
      <c r="M24" s="5">
        <f t="shared" si="3"/>
        <v>7.2530545371268504E-2</v>
      </c>
      <c r="N24" s="5">
        <f>M24/$M$25</f>
        <v>6.8009650921197956E-2</v>
      </c>
    </row>
    <row r="25" spans="1:14" x14ac:dyDescent="0.25">
      <c r="A25" s="10" t="s">
        <v>43</v>
      </c>
      <c r="B25" s="6">
        <f>SUM(B21:B24)</f>
        <v>4.0151672155093046</v>
      </c>
      <c r="C25" s="6">
        <f>SUM(C21:C24)</f>
        <v>5.0939179992784176</v>
      </c>
      <c r="D25" s="6">
        <f>SUM(D21:D24)</f>
        <v>6.2527235012313458</v>
      </c>
      <c r="E25" s="1"/>
      <c r="F25" s="1"/>
      <c r="G25" s="1"/>
      <c r="H25" s="1"/>
      <c r="I25" s="10" t="s">
        <v>43</v>
      </c>
      <c r="J25" s="6"/>
      <c r="K25" s="6"/>
      <c r="L25" s="6"/>
      <c r="M25" s="6">
        <f>SUM(M21:M24)</f>
        <v>1.0664743075259842</v>
      </c>
      <c r="N25" s="6">
        <f>SUM(N21:N24)</f>
        <v>0.99999999999999989</v>
      </c>
    </row>
    <row r="26" spans="1:14" x14ac:dyDescent="0.25">
      <c r="A26" s="10" t="s">
        <v>44</v>
      </c>
      <c r="B26" s="6">
        <f>MINVERSE(B25)</f>
        <v>0.24905562989688709</v>
      </c>
      <c r="C26" s="6">
        <f t="shared" ref="C26:D26" si="4">MINVERSE(C25)</f>
        <v>0.19631254373188883</v>
      </c>
      <c r="D26" s="6">
        <f t="shared" si="4"/>
        <v>0.15993030873715597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0" t="s">
        <v>45</v>
      </c>
      <c r="B27" s="6">
        <f>D26</f>
        <v>0.15993030873715597</v>
      </c>
      <c r="C27" s="6">
        <f>C26</f>
        <v>0.19631254373188883</v>
      </c>
      <c r="D27" s="6">
        <f>B26</f>
        <v>0.24905562989688709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</sheetData>
  <mergeCells count="10">
    <mergeCell ref="B20:D20"/>
    <mergeCell ref="J20:L20"/>
    <mergeCell ref="B1:D1"/>
    <mergeCell ref="E1:G1"/>
    <mergeCell ref="H1:J1"/>
    <mergeCell ref="K1:M1"/>
    <mergeCell ref="B10:D10"/>
    <mergeCell ref="E10:G10"/>
    <mergeCell ref="H10:J10"/>
    <mergeCell ref="K10:M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9EEE-B9D6-47F8-BC7D-631051FDEF24}">
  <dimension ref="A1:N28"/>
  <sheetViews>
    <sheetView workbookViewId="0">
      <selection activeCell="A14" sqref="A14"/>
    </sheetView>
  </sheetViews>
  <sheetFormatPr defaultRowHeight="15" x14ac:dyDescent="0.25"/>
  <cols>
    <col min="1" max="1" width="16" customWidth="1"/>
    <col min="9" max="9" width="13.85546875" customWidth="1"/>
  </cols>
  <sheetData>
    <row r="1" spans="1:13" x14ac:dyDescent="0.25">
      <c r="A1" s="4"/>
      <c r="B1" s="14" t="s">
        <v>0</v>
      </c>
      <c r="C1" s="14"/>
      <c r="D1" s="14"/>
      <c r="E1" s="14" t="s">
        <v>1</v>
      </c>
      <c r="F1" s="14"/>
      <c r="G1" s="14"/>
      <c r="H1" s="14" t="s">
        <v>7</v>
      </c>
      <c r="I1" s="14"/>
      <c r="J1" s="14"/>
      <c r="K1" s="14" t="s">
        <v>9</v>
      </c>
      <c r="L1" s="14"/>
      <c r="M1" s="14"/>
    </row>
    <row r="2" spans="1:13" x14ac:dyDescent="0.25">
      <c r="A2" s="4" t="s">
        <v>0</v>
      </c>
      <c r="B2" s="5">
        <v>1</v>
      </c>
      <c r="C2" s="5">
        <v>1</v>
      </c>
      <c r="D2" s="5">
        <v>1</v>
      </c>
      <c r="E2" s="6">
        <v>2</v>
      </c>
      <c r="F2" s="6">
        <v>3</v>
      </c>
      <c r="G2" s="6">
        <v>4</v>
      </c>
      <c r="H2" s="7">
        <v>2</v>
      </c>
      <c r="I2" s="7">
        <v>3</v>
      </c>
      <c r="J2" s="7">
        <v>4</v>
      </c>
      <c r="K2" s="8">
        <v>4</v>
      </c>
      <c r="L2" s="8">
        <v>5</v>
      </c>
      <c r="M2" s="8">
        <v>6</v>
      </c>
    </row>
    <row r="3" spans="1:13" x14ac:dyDescent="0.25">
      <c r="A3" s="4" t="s">
        <v>1</v>
      </c>
      <c r="B3" s="5"/>
      <c r="C3" s="5"/>
      <c r="D3" s="5"/>
      <c r="E3" s="6">
        <v>1</v>
      </c>
      <c r="F3" s="6">
        <v>1</v>
      </c>
      <c r="G3" s="6">
        <v>1</v>
      </c>
      <c r="H3" s="7">
        <v>2</v>
      </c>
      <c r="I3" s="7">
        <v>3</v>
      </c>
      <c r="J3" s="7">
        <v>4</v>
      </c>
      <c r="K3" s="8">
        <v>4</v>
      </c>
      <c r="L3" s="8">
        <v>5</v>
      </c>
      <c r="M3" s="8">
        <v>6</v>
      </c>
    </row>
    <row r="4" spans="1:13" x14ac:dyDescent="0.25">
      <c r="A4" s="4" t="s">
        <v>7</v>
      </c>
      <c r="B4" s="5"/>
      <c r="C4" s="5"/>
      <c r="D4" s="5"/>
      <c r="E4" s="6"/>
      <c r="F4" s="6"/>
      <c r="G4" s="6"/>
      <c r="H4" s="7">
        <v>1</v>
      </c>
      <c r="I4" s="7">
        <v>1</v>
      </c>
      <c r="J4" s="7">
        <v>1</v>
      </c>
      <c r="K4" s="8">
        <v>2</v>
      </c>
      <c r="L4" s="8">
        <v>3</v>
      </c>
      <c r="M4" s="8">
        <v>4</v>
      </c>
    </row>
    <row r="5" spans="1:13" x14ac:dyDescent="0.25">
      <c r="A5" s="4" t="s">
        <v>9</v>
      </c>
      <c r="B5" s="5"/>
      <c r="C5" s="5"/>
      <c r="D5" s="5"/>
      <c r="E5" s="6"/>
      <c r="F5" s="6"/>
      <c r="G5" s="6"/>
      <c r="H5" s="7"/>
      <c r="I5" s="7"/>
      <c r="J5" s="7"/>
      <c r="K5" s="8">
        <v>1</v>
      </c>
      <c r="L5" s="8">
        <v>1</v>
      </c>
      <c r="M5" s="8">
        <v>1</v>
      </c>
    </row>
    <row r="10" spans="1:13" x14ac:dyDescent="0.25">
      <c r="A10" s="4"/>
      <c r="B10" s="14" t="s">
        <v>0</v>
      </c>
      <c r="C10" s="14"/>
      <c r="D10" s="14"/>
      <c r="E10" s="14" t="s">
        <v>1</v>
      </c>
      <c r="F10" s="14"/>
      <c r="G10" s="14"/>
      <c r="H10" s="14" t="s">
        <v>7</v>
      </c>
      <c r="I10" s="14"/>
      <c r="J10" s="14"/>
      <c r="K10" s="14" t="s">
        <v>9</v>
      </c>
      <c r="L10" s="14"/>
      <c r="M10" s="14"/>
    </row>
    <row r="11" spans="1:13" x14ac:dyDescent="0.25">
      <c r="A11" s="4" t="s">
        <v>0</v>
      </c>
      <c r="B11" s="5">
        <v>1</v>
      </c>
      <c r="C11" s="5">
        <v>1</v>
      </c>
      <c r="D11" s="5">
        <v>1</v>
      </c>
      <c r="E11" s="6">
        <v>2</v>
      </c>
      <c r="F11" s="6">
        <v>3</v>
      </c>
      <c r="G11" s="6">
        <v>4</v>
      </c>
      <c r="H11" s="7">
        <v>2</v>
      </c>
      <c r="I11" s="7">
        <v>3</v>
      </c>
      <c r="J11" s="7">
        <v>4</v>
      </c>
      <c r="K11" s="8">
        <v>4</v>
      </c>
      <c r="L11" s="8">
        <v>5</v>
      </c>
      <c r="M11" s="8">
        <v>6</v>
      </c>
    </row>
    <row r="12" spans="1:13" x14ac:dyDescent="0.25">
      <c r="A12" s="4" t="s">
        <v>1</v>
      </c>
      <c r="B12" s="5">
        <v>0.25</v>
      </c>
      <c r="C12" s="5">
        <v>0.33333333333333331</v>
      </c>
      <c r="D12" s="5">
        <v>0.5</v>
      </c>
      <c r="E12" s="6">
        <v>1</v>
      </c>
      <c r="F12" s="6">
        <v>1</v>
      </c>
      <c r="G12" s="6">
        <v>1</v>
      </c>
      <c r="H12" s="7">
        <v>2</v>
      </c>
      <c r="I12" s="7">
        <v>3</v>
      </c>
      <c r="J12" s="7">
        <v>4</v>
      </c>
      <c r="K12" s="8">
        <v>4</v>
      </c>
      <c r="L12" s="8">
        <v>5</v>
      </c>
      <c r="M12" s="8">
        <v>6</v>
      </c>
    </row>
    <row r="13" spans="1:13" x14ac:dyDescent="0.25">
      <c r="A13" s="4" t="s">
        <v>7</v>
      </c>
      <c r="B13" s="5">
        <v>0.25</v>
      </c>
      <c r="C13" s="5">
        <v>0.33333333333333331</v>
      </c>
      <c r="D13" s="5">
        <v>0.5</v>
      </c>
      <c r="E13" s="6">
        <v>0.25</v>
      </c>
      <c r="F13" s="6">
        <v>0.33333333333333331</v>
      </c>
      <c r="G13" s="6">
        <v>0.5</v>
      </c>
      <c r="H13" s="7">
        <v>1</v>
      </c>
      <c r="I13" s="7">
        <v>1</v>
      </c>
      <c r="J13" s="7">
        <v>1</v>
      </c>
      <c r="K13" s="8">
        <v>2</v>
      </c>
      <c r="L13" s="8">
        <v>3</v>
      </c>
      <c r="M13" s="8">
        <v>4</v>
      </c>
    </row>
    <row r="14" spans="1:13" x14ac:dyDescent="0.25">
      <c r="A14" s="4" t="s">
        <v>9</v>
      </c>
      <c r="B14" s="5">
        <v>0.16666666666666666</v>
      </c>
      <c r="C14" s="5">
        <v>0.2</v>
      </c>
      <c r="D14" s="5">
        <v>0.25</v>
      </c>
      <c r="E14" s="6">
        <v>0.16666666666666666</v>
      </c>
      <c r="F14" s="6">
        <v>0.2</v>
      </c>
      <c r="G14" s="6">
        <v>0.25</v>
      </c>
      <c r="H14" s="7">
        <v>0.25</v>
      </c>
      <c r="I14" s="7">
        <v>0.33333333333333331</v>
      </c>
      <c r="J14" s="7">
        <v>0.5</v>
      </c>
      <c r="K14" s="8">
        <v>1</v>
      </c>
      <c r="L14" s="8">
        <v>1</v>
      </c>
      <c r="M14" s="8">
        <v>1</v>
      </c>
    </row>
    <row r="20" spans="1:14" x14ac:dyDescent="0.25">
      <c r="A20" s="4"/>
      <c r="B20" s="14" t="s">
        <v>42</v>
      </c>
      <c r="C20" s="14"/>
      <c r="D20" s="14"/>
      <c r="E20" s="1"/>
      <c r="F20" s="1"/>
      <c r="G20" s="1"/>
      <c r="H20" s="1"/>
      <c r="I20" s="4"/>
      <c r="J20" s="14" t="s">
        <v>46</v>
      </c>
      <c r="K20" s="14"/>
      <c r="L20" s="14"/>
      <c r="M20" s="4" t="s">
        <v>48</v>
      </c>
      <c r="N20" s="4" t="s">
        <v>49</v>
      </c>
    </row>
    <row r="21" spans="1:14" x14ac:dyDescent="0.25">
      <c r="A21" s="4" t="s">
        <v>8</v>
      </c>
      <c r="B21" s="5">
        <f>GEOMEAN(B11,E11,H11,K11)</f>
        <v>2</v>
      </c>
      <c r="C21" s="5">
        <f t="shared" ref="C21:D24" si="0">GEOMEAN(C11,F11,I11,L11)</f>
        <v>2.5900200641113513</v>
      </c>
      <c r="D21" s="5">
        <f t="shared" si="0"/>
        <v>3.1301691601465746</v>
      </c>
      <c r="E21" s="1"/>
      <c r="F21" s="1"/>
      <c r="G21" s="1"/>
      <c r="H21" s="1"/>
      <c r="I21" s="4" t="s">
        <v>8</v>
      </c>
      <c r="J21" s="5">
        <f t="shared" ref="J21:L24" si="1">B21*B$27</f>
        <v>0.31192357079839339</v>
      </c>
      <c r="K21" s="5">
        <f t="shared" si="1"/>
        <v>0.49952042054991475</v>
      </c>
      <c r="L21" s="5">
        <f t="shared" si="1"/>
        <v>0.7686138904868044</v>
      </c>
      <c r="M21" s="5">
        <f>AVERAGE(J21:L21)</f>
        <v>0.52668596061170414</v>
      </c>
      <c r="N21" s="5">
        <f>M21/$M$25</f>
        <v>0.49229458175091201</v>
      </c>
    </row>
    <row r="22" spans="1:14" x14ac:dyDescent="0.25">
      <c r="A22" s="4" t="s">
        <v>4</v>
      </c>
      <c r="B22" s="5">
        <f t="shared" ref="B22:B24" si="2">GEOMEAN(B12,E12,H12,K12)</f>
        <v>1.189207115002721</v>
      </c>
      <c r="C22" s="5">
        <f t="shared" si="0"/>
        <v>1.4953487812212205</v>
      </c>
      <c r="D22" s="5">
        <f t="shared" si="0"/>
        <v>1.8612097182041991</v>
      </c>
      <c r="E22" s="1"/>
      <c r="F22" s="1"/>
      <c r="G22" s="1"/>
      <c r="H22" s="1"/>
      <c r="I22" s="4" t="s">
        <v>4</v>
      </c>
      <c r="J22" s="5">
        <f t="shared" si="1"/>
        <v>0.18547086486525219</v>
      </c>
      <c r="K22" s="5">
        <f t="shared" si="1"/>
        <v>0.28839824927020835</v>
      </c>
      <c r="L22" s="5">
        <f t="shared" si="1"/>
        <v>0.45702055362841504</v>
      </c>
      <c r="M22" s="5">
        <f t="shared" ref="M22:M24" si="3">AVERAGE(J22:L22)</f>
        <v>0.31029655592129185</v>
      </c>
      <c r="N22" s="5">
        <f>M22/$M$25</f>
        <v>0.2900349062629376</v>
      </c>
    </row>
    <row r="23" spans="1:14" x14ac:dyDescent="0.25">
      <c r="A23" s="4" t="s">
        <v>5</v>
      </c>
      <c r="B23" s="5">
        <f t="shared" si="2"/>
        <v>0.59460355750136051</v>
      </c>
      <c r="C23" s="5">
        <f t="shared" si="0"/>
        <v>0.75983568565159254</v>
      </c>
      <c r="D23" s="5">
        <f t="shared" si="0"/>
        <v>1</v>
      </c>
      <c r="E23" s="1"/>
      <c r="F23" s="1"/>
      <c r="G23" s="1"/>
      <c r="H23" s="1"/>
      <c r="I23" s="4" t="s">
        <v>5</v>
      </c>
      <c r="J23" s="5">
        <f t="shared" si="1"/>
        <v>9.2735432432626094E-2</v>
      </c>
      <c r="K23" s="5">
        <f t="shared" si="1"/>
        <v>0.14654459496465058</v>
      </c>
      <c r="L23" s="5">
        <f t="shared" si="1"/>
        <v>0.24555027257722167</v>
      </c>
      <c r="M23" s="5">
        <f t="shared" si="3"/>
        <v>0.16161009999149945</v>
      </c>
      <c r="N23" s="5">
        <f>M23/$M$25</f>
        <v>0.15105733308257524</v>
      </c>
    </row>
    <row r="24" spans="1:14" x14ac:dyDescent="0.25">
      <c r="A24" s="4" t="s">
        <v>3</v>
      </c>
      <c r="B24" s="5">
        <f t="shared" si="2"/>
        <v>0.28867513459481287</v>
      </c>
      <c r="C24" s="5">
        <f t="shared" si="0"/>
        <v>0.33980884896942454</v>
      </c>
      <c r="D24" s="5">
        <f t="shared" si="0"/>
        <v>0.42044820762685725</v>
      </c>
      <c r="E24" s="1"/>
      <c r="F24" s="1"/>
      <c r="G24" s="1"/>
      <c r="H24" s="1"/>
      <c r="I24" s="4" t="s">
        <v>3</v>
      </c>
      <c r="J24" s="5">
        <f t="shared" si="1"/>
        <v>4.5022289391760423E-2</v>
      </c>
      <c r="K24" s="5">
        <f t="shared" si="1"/>
        <v>6.5536735215226433E-2</v>
      </c>
      <c r="L24" s="5">
        <f t="shared" si="1"/>
        <v>0.10324117198737909</v>
      </c>
      <c r="M24" s="5">
        <f t="shared" si="3"/>
        <v>7.1266732198121976E-2</v>
      </c>
      <c r="N24" s="5">
        <f>M24/$M$25</f>
        <v>6.6613178903575015E-2</v>
      </c>
    </row>
    <row r="25" spans="1:14" x14ac:dyDescent="0.25">
      <c r="A25" s="10" t="s">
        <v>43</v>
      </c>
      <c r="B25" s="6">
        <f>SUM(B21:B24)</f>
        <v>4.0724858070988939</v>
      </c>
      <c r="C25" s="6">
        <f>SUM(C21:C24)</f>
        <v>5.1850133799535882</v>
      </c>
      <c r="D25" s="6">
        <f>SUM(D21:D24)</f>
        <v>6.411827085977631</v>
      </c>
      <c r="E25" s="1"/>
      <c r="F25" s="1"/>
      <c r="G25" s="1"/>
      <c r="H25" s="1"/>
      <c r="I25" s="10" t="s">
        <v>43</v>
      </c>
      <c r="J25" s="6"/>
      <c r="K25" s="6"/>
      <c r="L25" s="6"/>
      <c r="M25" s="6">
        <f>SUM(M21:M24)</f>
        <v>1.0698593487226176</v>
      </c>
      <c r="N25" s="6">
        <f>SUM(N21:N24)</f>
        <v>0.99999999999999989</v>
      </c>
    </row>
    <row r="26" spans="1:14" x14ac:dyDescent="0.25">
      <c r="A26" s="10" t="s">
        <v>44</v>
      </c>
      <c r="B26" s="6">
        <f>MINVERSE(B25)</f>
        <v>0.24555027257722167</v>
      </c>
      <c r="C26" s="6">
        <f t="shared" ref="C26:D26" si="4">MINVERSE(C25)</f>
        <v>0.19286353317162533</v>
      </c>
      <c r="D26" s="6">
        <f t="shared" si="4"/>
        <v>0.1559617853991967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0" t="s">
        <v>45</v>
      </c>
      <c r="B27" s="6">
        <f>D26</f>
        <v>0.1559617853991967</v>
      </c>
      <c r="C27" s="6">
        <f>C26</f>
        <v>0.19286353317162533</v>
      </c>
      <c r="D27" s="6">
        <f>B26</f>
        <v>0.24555027257722167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mergeCells count="10">
    <mergeCell ref="B20:D20"/>
    <mergeCell ref="J20:L20"/>
    <mergeCell ref="B1:D1"/>
    <mergeCell ref="E1:G1"/>
    <mergeCell ref="H1:J1"/>
    <mergeCell ref="K1:M1"/>
    <mergeCell ref="B10:D10"/>
    <mergeCell ref="E10:G10"/>
    <mergeCell ref="H10:J10"/>
    <mergeCell ref="K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Scale</vt:lpstr>
      <vt:lpstr>Category</vt:lpstr>
      <vt:lpstr>Main_Category</vt:lpstr>
      <vt:lpstr>Cost</vt:lpstr>
      <vt:lpstr>Quality</vt:lpstr>
      <vt:lpstr>Delivery</vt:lpstr>
      <vt:lpstr>Reliability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Shamim Hasan</cp:lastModifiedBy>
  <dcterms:created xsi:type="dcterms:W3CDTF">2023-03-26T08:41:47Z</dcterms:created>
  <dcterms:modified xsi:type="dcterms:W3CDTF">2023-10-01T11:32:48Z</dcterms:modified>
</cp:coreProperties>
</file>